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\ND\ENSDF\"/>
    </mc:Choice>
  </mc:AlternateContent>
  <xr:revisionPtr revIDLastSave="0" documentId="13_ncr:1_{F40B2656-0072-421A-BC9B-6E0417A0D12B}" xr6:coauthVersionLast="47" xr6:coauthVersionMax="47" xr10:uidLastSave="{00000000-0000-0000-0000-000000000000}"/>
  <bookViews>
    <workbookView xWindow="-108" yWindow="-108" windowWidth="23256" windowHeight="12720" activeTab="1" xr2:uid="{E3F13E08-64ED-4767-9D40-D1E60D65A10A}"/>
  </bookViews>
  <sheets>
    <sheet name="A34" sheetId="5" r:id="rId1"/>
    <sheet name="A35" sheetId="1" r:id="rId2"/>
    <sheet name="A36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17" i="1" l="1"/>
  <c r="P18" i="1"/>
  <c r="R16" i="1"/>
  <c r="R17" i="1"/>
  <c r="R18" i="1"/>
  <c r="R21" i="1"/>
  <c r="R15" i="1"/>
  <c r="P20" i="1"/>
  <c r="R20" i="1" s="1"/>
  <c r="P19" i="1"/>
  <c r="R19" i="1" s="1"/>
  <c r="P15" i="1"/>
  <c r="J5" i="6"/>
  <c r="J6" i="6"/>
  <c r="J7" i="6"/>
  <c r="J8" i="6"/>
  <c r="J9" i="6"/>
  <c r="J10" i="6"/>
  <c r="J11" i="6"/>
  <c r="J12" i="6"/>
  <c r="J13" i="6"/>
  <c r="J5" i="5"/>
  <c r="J6" i="5"/>
  <c r="J7" i="5"/>
  <c r="J8" i="5"/>
  <c r="J9" i="5"/>
  <c r="J10" i="5"/>
  <c r="J11" i="5"/>
  <c r="J12" i="5"/>
  <c r="J13" i="5"/>
  <c r="J14" i="5"/>
  <c r="I5" i="5"/>
  <c r="I6" i="5"/>
  <c r="I7" i="5"/>
  <c r="I8" i="5"/>
  <c r="I9" i="5"/>
  <c r="I10" i="5"/>
  <c r="I11" i="5"/>
  <c r="I12" i="5"/>
  <c r="I13" i="5"/>
  <c r="I14" i="5"/>
  <c r="I4" i="5"/>
  <c r="J26" i="6"/>
  <c r="I26" i="6"/>
  <c r="J25" i="6"/>
  <c r="I25" i="6"/>
  <c r="J24" i="6"/>
  <c r="I24" i="6"/>
  <c r="J23" i="6"/>
  <c r="I23" i="6"/>
  <c r="J22" i="6"/>
  <c r="I22" i="6"/>
  <c r="J21" i="6"/>
  <c r="I21" i="6"/>
  <c r="J20" i="6"/>
  <c r="I20" i="6"/>
  <c r="J19" i="6"/>
  <c r="I19" i="6"/>
  <c r="J18" i="6"/>
  <c r="I18" i="6"/>
  <c r="J17" i="6"/>
  <c r="I17" i="6"/>
  <c r="J16" i="6"/>
  <c r="I16" i="6"/>
  <c r="I13" i="6"/>
  <c r="I12" i="6"/>
  <c r="I11" i="6"/>
  <c r="I10" i="6"/>
  <c r="I9" i="6"/>
  <c r="I8" i="6"/>
  <c r="I7" i="6"/>
  <c r="I6" i="6"/>
  <c r="I5" i="6"/>
  <c r="J4" i="6"/>
  <c r="I4" i="6"/>
  <c r="J2" i="6"/>
  <c r="J1" i="6"/>
  <c r="I1" i="6"/>
  <c r="L27" i="5"/>
  <c r="J26" i="5"/>
  <c r="I26" i="5"/>
  <c r="L26" i="5"/>
  <c r="J25" i="5"/>
  <c r="I25" i="5"/>
  <c r="L25" i="5"/>
  <c r="J24" i="5"/>
  <c r="I24" i="5"/>
  <c r="L24" i="5"/>
  <c r="J23" i="5"/>
  <c r="I23" i="5"/>
  <c r="L23" i="5"/>
  <c r="J22" i="5"/>
  <c r="I22" i="5"/>
  <c r="L22" i="5"/>
  <c r="J21" i="5"/>
  <c r="I21" i="5"/>
  <c r="L21" i="5"/>
  <c r="J20" i="5"/>
  <c r="I20" i="5"/>
  <c r="L20" i="5"/>
  <c r="J19" i="5"/>
  <c r="I19" i="5"/>
  <c r="L19" i="5"/>
  <c r="J18" i="5"/>
  <c r="I18" i="5"/>
  <c r="L18" i="5"/>
  <c r="J17" i="5"/>
  <c r="I17" i="5"/>
  <c r="L17" i="5"/>
  <c r="J16" i="5"/>
  <c r="I16" i="5"/>
  <c r="J4" i="5"/>
  <c r="J2" i="5"/>
  <c r="J1" i="5"/>
  <c r="I1" i="5"/>
  <c r="J16" i="1"/>
  <c r="J26" i="1"/>
  <c r="J25" i="1"/>
  <c r="J24" i="1"/>
  <c r="J23" i="1"/>
  <c r="J22" i="1"/>
  <c r="J21" i="1"/>
  <c r="J20" i="1"/>
  <c r="J19" i="1"/>
  <c r="J18" i="1"/>
  <c r="J17" i="1"/>
  <c r="I26" i="1"/>
  <c r="I25" i="1"/>
  <c r="I24" i="1"/>
  <c r="I23" i="1"/>
  <c r="I22" i="1"/>
  <c r="I21" i="1"/>
  <c r="I20" i="1"/>
  <c r="I19" i="1"/>
  <c r="I18" i="1"/>
  <c r="I17" i="1"/>
  <c r="I16" i="1"/>
  <c r="I1" i="1"/>
  <c r="J5" i="1"/>
  <c r="J6" i="1"/>
  <c r="J7" i="1"/>
  <c r="J8" i="1"/>
  <c r="J9" i="1"/>
  <c r="J10" i="1"/>
  <c r="J11" i="1"/>
  <c r="J12" i="1"/>
  <c r="J13" i="1"/>
  <c r="J4" i="1"/>
  <c r="I5" i="1"/>
  <c r="I6" i="1"/>
  <c r="I7" i="1"/>
  <c r="I8" i="1"/>
  <c r="I9" i="1"/>
  <c r="I10" i="1"/>
  <c r="I11" i="1"/>
  <c r="I12" i="1"/>
  <c r="I13" i="1"/>
  <c r="I4" i="1"/>
  <c r="J2" i="1"/>
  <c r="J1" i="1"/>
  <c r="L16" i="1"/>
  <c r="L24" i="1"/>
  <c r="L26" i="1"/>
  <c r="L23" i="1"/>
  <c r="L25" i="1"/>
  <c r="L18" i="1"/>
  <c r="L17" i="1"/>
  <c r="L21" i="1"/>
  <c r="L22" i="1"/>
  <c r="L20" i="1"/>
  <c r="L19" i="1"/>
  <c r="R22" i="1" l="1"/>
</calcChain>
</file>

<file path=xl/sharedStrings.xml><?xml version="1.0" encoding="utf-8"?>
<sst xmlns="http://schemas.openxmlformats.org/spreadsheetml/2006/main" count="129" uniqueCount="73">
  <si>
    <t>Nuclide</t>
  </si>
  <si>
    <t>NSR</t>
  </si>
  <si>
    <t>35K</t>
  </si>
  <si>
    <t>35P</t>
  </si>
  <si>
    <t>35S</t>
  </si>
  <si>
    <t>#of Adopted</t>
  </si>
  <si>
    <t>#of All</t>
  </si>
  <si>
    <t>#of Lines</t>
  </si>
  <si>
    <t>#of Datasets</t>
  </si>
  <si>
    <t>Levels</t>
  </si>
  <si>
    <t>Gammas</t>
  </si>
  <si>
    <t>L Records</t>
  </si>
  <si>
    <t>G Records</t>
  </si>
  <si>
    <t>(non-Adopted)</t>
  </si>
  <si>
    <t>35NA</t>
  </si>
  <si>
    <t>35MG</t>
  </si>
  <si>
    <t>35AL</t>
  </si>
  <si>
    <t>35SI</t>
  </si>
  <si>
    <t>35CL</t>
  </si>
  <si>
    <t>35AR</t>
  </si>
  <si>
    <t>35CA</t>
  </si>
  <si>
    <t>11NDS</t>
  </si>
  <si>
    <t>Completed</t>
  </si>
  <si>
    <t>34P</t>
  </si>
  <si>
    <t>34S</t>
  </si>
  <si>
    <t>34K</t>
  </si>
  <si>
    <t>34NE</t>
  </si>
  <si>
    <t>34NA</t>
  </si>
  <si>
    <t>34MG</t>
  </si>
  <si>
    <t>34AL</t>
  </si>
  <si>
    <t>34SI</t>
  </si>
  <si>
    <t>34CL</t>
  </si>
  <si>
    <t>34AR</t>
  </si>
  <si>
    <t>34CA</t>
  </si>
  <si>
    <t>TOTAL</t>
  </si>
  <si>
    <t>35NE</t>
  </si>
  <si>
    <t>#of NSR</t>
  </si>
  <si>
    <t>12NDS</t>
  </si>
  <si>
    <t>26NDS</t>
  </si>
  <si>
    <t>36NA</t>
  </si>
  <si>
    <t>36MG</t>
  </si>
  <si>
    <t>36AL</t>
  </si>
  <si>
    <t>36SI</t>
  </si>
  <si>
    <t>36P</t>
  </si>
  <si>
    <t>36S</t>
  </si>
  <si>
    <t>36CL</t>
  </si>
  <si>
    <t>36AR</t>
  </si>
  <si>
    <t>36K</t>
  </si>
  <si>
    <t>36CA</t>
  </si>
  <si>
    <t>27NDS</t>
  </si>
  <si>
    <t>OldFile</t>
  </si>
  <si>
    <t>NewFile</t>
  </si>
  <si>
    <t>PowerShellTotal</t>
  </si>
  <si>
    <t>PowerShellRemoved</t>
  </si>
  <si>
    <t>PowerShellAdded</t>
  </si>
  <si>
    <t>PowerShellMethod</t>
  </si>
  <si>
    <t>Compare-Object</t>
  </si>
  <si>
    <t>GitAdded</t>
  </si>
  <si>
    <t>GitDeleted</t>
  </si>
  <si>
    <t>GitStatus</t>
  </si>
  <si>
    <t>ok</t>
  </si>
  <si>
    <t>Nprior</t>
  </si>
  <si>
    <t>ΔNnucl</t>
  </si>
  <si>
    <t>ΔLtotal</t>
  </si>
  <si>
    <t>ΔDset</t>
  </si>
  <si>
    <t>ΔNlevels</t>
  </si>
  <si>
    <t>ΔNgammas</t>
  </si>
  <si>
    <t>NXUNDL</t>
  </si>
  <si>
    <t>Score</t>
  </si>
  <si>
    <t>W</t>
  </si>
  <si>
    <t>A35_NDS2011.txt</t>
  </si>
  <si>
    <t>A35_revised_2026.ens</t>
  </si>
  <si>
    <t>Sum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</si>
</sst>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"/>
  </numFmts>
  <fonts count="3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EC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4" fontId="1" fillId="0" borderId="0" xfId="0" applyNumberFormat="1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ECFF"/>
      <color rgb="FFFF5353"/>
      <color rgb="FFCCFF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07B35-24B3-403A-87E4-FC9852F282F3}">
  <dimension ref="B1:M28"/>
  <sheetViews>
    <sheetView zoomScale="130" zoomScaleNormal="130" workbookViewId="0">
      <pane ySplit="2" topLeftCell="A3" activePane="bottomLeft" state="frozen"/>
      <selection pane="bottomLeft" activeCell="H15" sqref="H15"/>
    </sheetView>
  </sheetViews>
  <sheetFormatPr defaultRowHeight="11.4" x14ac:dyDescent="0.3"/>
  <cols>
    <col min="1" max="1" width="3.44140625" style="1" bestFit="1" customWidth="1"/>
    <col min="2" max="2" width="6.21875" style="1" bestFit="1" customWidth="1"/>
    <col min="3" max="4" width="10" style="1" bestFit="1" customWidth="1"/>
    <col min="5" max="5" width="8.5546875" style="1" bestFit="1" customWidth="1"/>
    <col min="6" max="6" width="9" style="1" bestFit="1" customWidth="1"/>
    <col min="7" max="7" width="7.6640625" style="1" bestFit="1" customWidth="1"/>
    <col min="8" max="8" width="11.5546875" style="1" bestFit="1" customWidth="1"/>
    <col min="9" max="10" width="12.77734375" style="1" customWidth="1"/>
    <col min="11" max="11" width="4.21875" style="1" bestFit="1" customWidth="1"/>
    <col min="12" max="12" width="12.77734375" style="1" customWidth="1"/>
    <col min="13" max="13" width="9.33203125" style="1" bestFit="1" customWidth="1"/>
    <col min="14" max="14" width="3.44140625" style="1" bestFit="1" customWidth="1"/>
    <col min="15" max="15" width="12.21875" style="1" customWidth="1"/>
    <col min="16" max="16384" width="8.88671875" style="1"/>
  </cols>
  <sheetData>
    <row r="1" spans="2:13" x14ac:dyDescent="0.3">
      <c r="B1" s="1" t="s">
        <v>0</v>
      </c>
      <c r="C1" s="1" t="s">
        <v>5</v>
      </c>
      <c r="D1" s="1" t="s">
        <v>5</v>
      </c>
      <c r="E1" s="1" t="s">
        <v>6</v>
      </c>
      <c r="F1" s="1" t="s">
        <v>6</v>
      </c>
      <c r="G1" s="1" t="s">
        <v>7</v>
      </c>
      <c r="H1" s="1" t="s">
        <v>8</v>
      </c>
      <c r="I1" s="1" t="str">
        <f>G1</f>
        <v>#of Lines</v>
      </c>
      <c r="J1" s="1" t="str">
        <f>H1</f>
        <v>#of Datasets</v>
      </c>
    </row>
    <row r="2" spans="2:13" x14ac:dyDescent="0.3">
      <c r="C2" s="1" t="s">
        <v>9</v>
      </c>
      <c r="D2" s="1" t="s">
        <v>10</v>
      </c>
      <c r="E2" s="1" t="s">
        <v>11</v>
      </c>
      <c r="F2" s="1" t="s">
        <v>12</v>
      </c>
      <c r="H2" s="1" t="s">
        <v>13</v>
      </c>
      <c r="J2" s="1" t="str">
        <f>H2</f>
        <v>(non-Adopted)</v>
      </c>
    </row>
    <row r="3" spans="2:13" ht="12" x14ac:dyDescent="0.3">
      <c r="B3" s="2" t="s">
        <v>37</v>
      </c>
    </row>
    <row r="4" spans="2:13" x14ac:dyDescent="0.3">
      <c r="B4" s="1" t="s">
        <v>26</v>
      </c>
      <c r="C4" s="1">
        <v>1</v>
      </c>
      <c r="D4" s="1">
        <v>0</v>
      </c>
      <c r="E4" s="1">
        <v>1</v>
      </c>
      <c r="F4" s="1">
        <v>0</v>
      </c>
      <c r="G4" s="1">
        <v>46</v>
      </c>
      <c r="H4" s="1">
        <v>0</v>
      </c>
      <c r="I4" s="3">
        <f>G4</f>
        <v>46</v>
      </c>
      <c r="J4" s="3">
        <f>H4</f>
        <v>0</v>
      </c>
    </row>
    <row r="5" spans="2:13" x14ac:dyDescent="0.3">
      <c r="B5" s="1" t="s">
        <v>27</v>
      </c>
      <c r="C5" s="1">
        <v>1</v>
      </c>
      <c r="D5" s="1">
        <v>0</v>
      </c>
      <c r="E5" s="1">
        <v>1</v>
      </c>
      <c r="F5" s="1">
        <v>0</v>
      </c>
      <c r="G5" s="1">
        <v>59</v>
      </c>
      <c r="H5" s="1">
        <v>1</v>
      </c>
      <c r="I5" s="3">
        <f t="shared" ref="I5:I14" si="0">G5</f>
        <v>59</v>
      </c>
      <c r="J5" s="3">
        <f t="shared" ref="J5:J14" si="1">H5</f>
        <v>1</v>
      </c>
    </row>
    <row r="6" spans="2:13" x14ac:dyDescent="0.3">
      <c r="B6" s="1" t="s">
        <v>28</v>
      </c>
      <c r="C6" s="1">
        <v>3</v>
      </c>
      <c r="D6" s="1">
        <v>2</v>
      </c>
      <c r="E6" s="1">
        <v>11</v>
      </c>
      <c r="F6" s="1">
        <v>7</v>
      </c>
      <c r="G6" s="1">
        <v>163</v>
      </c>
      <c r="H6" s="1">
        <v>5</v>
      </c>
      <c r="I6" s="3">
        <f t="shared" si="0"/>
        <v>163</v>
      </c>
      <c r="J6" s="3">
        <f t="shared" si="1"/>
        <v>5</v>
      </c>
    </row>
    <row r="7" spans="2:13" x14ac:dyDescent="0.3">
      <c r="B7" s="1" t="s">
        <v>29</v>
      </c>
      <c r="C7" s="1">
        <v>2</v>
      </c>
      <c r="D7" s="1">
        <v>1</v>
      </c>
      <c r="E7" s="1">
        <v>5</v>
      </c>
      <c r="F7" s="1">
        <v>2</v>
      </c>
      <c r="G7" s="1">
        <v>124</v>
      </c>
      <c r="H7" s="1">
        <v>3</v>
      </c>
      <c r="I7" s="3">
        <f t="shared" si="0"/>
        <v>124</v>
      </c>
      <c r="J7" s="3">
        <f t="shared" si="1"/>
        <v>3</v>
      </c>
    </row>
    <row r="8" spans="2:13" x14ac:dyDescent="0.3">
      <c r="B8" s="1" t="s">
        <v>30</v>
      </c>
      <c r="C8" s="1">
        <v>10</v>
      </c>
      <c r="D8" s="1">
        <v>11</v>
      </c>
      <c r="E8" s="1">
        <v>60</v>
      </c>
      <c r="F8" s="1">
        <v>60</v>
      </c>
      <c r="G8" s="1">
        <v>430</v>
      </c>
      <c r="H8" s="1">
        <v>10</v>
      </c>
      <c r="I8" s="3">
        <f t="shared" si="0"/>
        <v>430</v>
      </c>
      <c r="J8" s="3">
        <f t="shared" si="1"/>
        <v>10</v>
      </c>
    </row>
    <row r="9" spans="2:13" x14ac:dyDescent="0.3">
      <c r="B9" s="1" t="s">
        <v>23</v>
      </c>
      <c r="C9" s="1">
        <v>35</v>
      </c>
      <c r="D9" s="1">
        <v>50</v>
      </c>
      <c r="E9" s="1">
        <v>128</v>
      </c>
      <c r="F9" s="1">
        <v>135</v>
      </c>
      <c r="G9" s="1">
        <v>866</v>
      </c>
      <c r="H9" s="1">
        <v>12</v>
      </c>
      <c r="I9" s="3">
        <f t="shared" si="0"/>
        <v>866</v>
      </c>
      <c r="J9" s="3">
        <f t="shared" si="1"/>
        <v>12</v>
      </c>
    </row>
    <row r="10" spans="2:13" x14ac:dyDescent="0.3">
      <c r="B10" s="1" t="s">
        <v>24</v>
      </c>
      <c r="C10" s="1">
        <v>267</v>
      </c>
      <c r="D10" s="1">
        <v>496</v>
      </c>
      <c r="E10" s="1">
        <v>832</v>
      </c>
      <c r="F10" s="1">
        <v>1134</v>
      </c>
      <c r="G10" s="1">
        <v>4789</v>
      </c>
      <c r="H10" s="1">
        <v>27</v>
      </c>
      <c r="I10" s="3">
        <f t="shared" si="0"/>
        <v>4789</v>
      </c>
      <c r="J10" s="3">
        <f t="shared" si="1"/>
        <v>27</v>
      </c>
    </row>
    <row r="11" spans="2:13" x14ac:dyDescent="0.3">
      <c r="B11" s="1" t="s">
        <v>31</v>
      </c>
      <c r="C11" s="1">
        <v>342</v>
      </c>
      <c r="D11" s="1">
        <v>862</v>
      </c>
      <c r="E11" s="1">
        <v>996</v>
      </c>
      <c r="F11" s="1">
        <v>1799</v>
      </c>
      <c r="G11" s="1">
        <v>6159</v>
      </c>
      <c r="H11" s="1">
        <v>20</v>
      </c>
      <c r="I11" s="3">
        <f t="shared" si="0"/>
        <v>6159</v>
      </c>
      <c r="J11" s="3">
        <f t="shared" si="1"/>
        <v>20</v>
      </c>
    </row>
    <row r="12" spans="2:13" x14ac:dyDescent="0.3">
      <c r="B12" s="1" t="s">
        <v>32</v>
      </c>
      <c r="C12" s="1">
        <v>22</v>
      </c>
      <c r="D12" s="1">
        <v>17</v>
      </c>
      <c r="E12" s="1">
        <v>72</v>
      </c>
      <c r="F12" s="1">
        <v>34</v>
      </c>
      <c r="G12" s="1">
        <v>417</v>
      </c>
      <c r="H12" s="1">
        <v>5</v>
      </c>
      <c r="I12" s="3">
        <f t="shared" si="0"/>
        <v>417</v>
      </c>
      <c r="J12" s="3">
        <f t="shared" si="1"/>
        <v>5</v>
      </c>
    </row>
    <row r="13" spans="2:13" x14ac:dyDescent="0.3">
      <c r="B13" s="1" t="s">
        <v>25</v>
      </c>
      <c r="C13" s="1">
        <v>1</v>
      </c>
      <c r="D13" s="1">
        <v>0</v>
      </c>
      <c r="E13" s="1">
        <v>1</v>
      </c>
      <c r="F13" s="1">
        <v>0</v>
      </c>
      <c r="G13" s="1">
        <v>21</v>
      </c>
      <c r="H13" s="1">
        <v>0</v>
      </c>
      <c r="I13" s="3">
        <f t="shared" si="0"/>
        <v>21</v>
      </c>
      <c r="J13" s="3">
        <f t="shared" si="1"/>
        <v>0</v>
      </c>
    </row>
    <row r="14" spans="2:13" x14ac:dyDescent="0.3">
      <c r="B14" s="1" t="s">
        <v>33</v>
      </c>
      <c r="C14" s="1">
        <v>1</v>
      </c>
      <c r="D14" s="1">
        <v>0</v>
      </c>
      <c r="E14" s="1">
        <v>1</v>
      </c>
      <c r="F14" s="1">
        <v>0</v>
      </c>
      <c r="G14" s="1">
        <v>27</v>
      </c>
      <c r="H14" s="1">
        <v>0</v>
      </c>
      <c r="I14" s="3">
        <f t="shared" si="0"/>
        <v>27</v>
      </c>
      <c r="J14" s="3">
        <f t="shared" si="1"/>
        <v>0</v>
      </c>
    </row>
    <row r="15" spans="2:13" x14ac:dyDescent="0.3">
      <c r="B15" s="1" t="s">
        <v>34</v>
      </c>
      <c r="C15" s="1">
        <v>685</v>
      </c>
      <c r="D15" s="1">
        <v>1439</v>
      </c>
      <c r="E15" s="1">
        <v>2108</v>
      </c>
      <c r="F15" s="1">
        <v>3171</v>
      </c>
      <c r="G15" s="1">
        <v>13101</v>
      </c>
      <c r="H15" s="1">
        <v>83</v>
      </c>
    </row>
    <row r="16" spans="2:13" ht="12" x14ac:dyDescent="0.3">
      <c r="B16" s="2" t="s">
        <v>49</v>
      </c>
      <c r="I16" s="3">
        <f>G16</f>
        <v>0</v>
      </c>
      <c r="J16" s="3">
        <f>H16</f>
        <v>0</v>
      </c>
      <c r="K16" s="1" t="s">
        <v>1</v>
      </c>
      <c r="L16" s="1" t="s">
        <v>36</v>
      </c>
      <c r="M16" s="1" t="s">
        <v>22</v>
      </c>
    </row>
    <row r="17" spans="2:13" x14ac:dyDescent="0.3">
      <c r="B17" s="1" t="s">
        <v>26</v>
      </c>
      <c r="I17" s="3">
        <f t="shared" ref="I17:J25" si="2">G17</f>
        <v>0</v>
      </c>
      <c r="J17" s="3">
        <f t="shared" si="2"/>
        <v>0</v>
      </c>
      <c r="K17" s="4">
        <v>67</v>
      </c>
      <c r="L17" s="3">
        <f t="shared" ref="L17:L27" si="3">K17</f>
        <v>67</v>
      </c>
      <c r="M17" s="5">
        <v>46179</v>
      </c>
    </row>
    <row r="18" spans="2:13" x14ac:dyDescent="0.3">
      <c r="B18" s="1" t="s">
        <v>27</v>
      </c>
      <c r="I18" s="3">
        <f t="shared" si="2"/>
        <v>0</v>
      </c>
      <c r="J18" s="3">
        <f t="shared" si="2"/>
        <v>0</v>
      </c>
      <c r="K18" s="4">
        <v>40</v>
      </c>
      <c r="L18" s="3">
        <f t="shared" si="3"/>
        <v>40</v>
      </c>
      <c r="M18" s="5">
        <v>46156</v>
      </c>
    </row>
    <row r="19" spans="2:13" x14ac:dyDescent="0.3">
      <c r="B19" s="1" t="s">
        <v>28</v>
      </c>
      <c r="I19" s="3">
        <f t="shared" si="2"/>
        <v>0</v>
      </c>
      <c r="J19" s="3">
        <f t="shared" si="2"/>
        <v>0</v>
      </c>
      <c r="K19" s="4">
        <v>196</v>
      </c>
      <c r="L19" s="3">
        <f t="shared" si="3"/>
        <v>196</v>
      </c>
      <c r="M19" s="5">
        <v>46133</v>
      </c>
    </row>
    <row r="20" spans="2:13" x14ac:dyDescent="0.3">
      <c r="B20" s="1" t="s">
        <v>29</v>
      </c>
      <c r="I20" s="3">
        <f t="shared" si="2"/>
        <v>0</v>
      </c>
      <c r="J20" s="3">
        <f t="shared" si="2"/>
        <v>0</v>
      </c>
      <c r="K20" s="4">
        <v>67</v>
      </c>
      <c r="L20" s="3">
        <f t="shared" si="3"/>
        <v>67</v>
      </c>
      <c r="M20" s="5">
        <v>46110</v>
      </c>
    </row>
    <row r="21" spans="2:13" x14ac:dyDescent="0.3">
      <c r="B21" s="1" t="s">
        <v>30</v>
      </c>
      <c r="I21" s="3">
        <f t="shared" si="2"/>
        <v>0</v>
      </c>
      <c r="J21" s="3">
        <f t="shared" si="2"/>
        <v>0</v>
      </c>
      <c r="K21" s="4">
        <v>245</v>
      </c>
      <c r="L21" s="3">
        <f t="shared" si="3"/>
        <v>245</v>
      </c>
      <c r="M21" s="5">
        <v>46087</v>
      </c>
    </row>
    <row r="22" spans="2:13" x14ac:dyDescent="0.3">
      <c r="B22" s="1" t="s">
        <v>23</v>
      </c>
      <c r="I22" s="3">
        <f t="shared" si="2"/>
        <v>0</v>
      </c>
      <c r="J22" s="3">
        <f t="shared" si="2"/>
        <v>0</v>
      </c>
      <c r="K22" s="4">
        <v>107</v>
      </c>
      <c r="L22" s="3">
        <f t="shared" si="3"/>
        <v>107</v>
      </c>
      <c r="M22" s="5">
        <v>46064</v>
      </c>
    </row>
    <row r="23" spans="2:13" x14ac:dyDescent="0.3">
      <c r="B23" s="1" t="s">
        <v>24</v>
      </c>
      <c r="I23" s="3">
        <f t="shared" si="2"/>
        <v>0</v>
      </c>
      <c r="J23" s="3">
        <f t="shared" si="2"/>
        <v>0</v>
      </c>
      <c r="K23" s="4">
        <v>539</v>
      </c>
      <c r="L23" s="3">
        <f t="shared" si="3"/>
        <v>539</v>
      </c>
      <c r="M23" s="5">
        <v>46041</v>
      </c>
    </row>
    <row r="24" spans="2:13" x14ac:dyDescent="0.3">
      <c r="B24" s="1" t="s">
        <v>31</v>
      </c>
      <c r="H24" s="1">
        <v>23</v>
      </c>
      <c r="I24" s="3">
        <f t="shared" si="2"/>
        <v>0</v>
      </c>
      <c r="J24" s="3">
        <f t="shared" si="2"/>
        <v>23</v>
      </c>
      <c r="K24" s="4">
        <v>461</v>
      </c>
      <c r="L24" s="3">
        <f t="shared" si="3"/>
        <v>461</v>
      </c>
      <c r="M24" s="5">
        <v>46018</v>
      </c>
    </row>
    <row r="25" spans="2:13" x14ac:dyDescent="0.3">
      <c r="B25" s="1" t="s">
        <v>32</v>
      </c>
      <c r="C25" s="1">
        <v>42</v>
      </c>
      <c r="D25" s="1">
        <v>26</v>
      </c>
      <c r="E25" s="1">
        <v>132</v>
      </c>
      <c r="F25" s="1">
        <v>67</v>
      </c>
      <c r="G25" s="1">
        <v>840</v>
      </c>
      <c r="H25" s="1">
        <v>11</v>
      </c>
      <c r="I25" s="3">
        <f t="shared" si="2"/>
        <v>840</v>
      </c>
      <c r="J25" s="3">
        <f t="shared" si="2"/>
        <v>11</v>
      </c>
      <c r="K25" s="4">
        <v>209</v>
      </c>
      <c r="L25" s="3">
        <f t="shared" si="3"/>
        <v>209</v>
      </c>
      <c r="M25" s="5">
        <v>45995</v>
      </c>
    </row>
    <row r="26" spans="2:13" x14ac:dyDescent="0.3">
      <c r="B26" s="1" t="s">
        <v>25</v>
      </c>
      <c r="H26" s="1">
        <v>1</v>
      </c>
      <c r="I26" s="3">
        <f>G26</f>
        <v>0</v>
      </c>
      <c r="J26" s="3">
        <f>H26</f>
        <v>1</v>
      </c>
      <c r="K26" s="4">
        <v>24</v>
      </c>
      <c r="L26" s="3">
        <f t="shared" si="3"/>
        <v>24</v>
      </c>
      <c r="M26" s="5">
        <v>45972</v>
      </c>
    </row>
    <row r="27" spans="2:13" x14ac:dyDescent="0.3">
      <c r="B27" s="1" t="s">
        <v>33</v>
      </c>
      <c r="H27" s="1">
        <v>0</v>
      </c>
      <c r="I27" s="4"/>
      <c r="J27" s="4"/>
      <c r="K27" s="4">
        <v>82</v>
      </c>
      <c r="L27" s="3">
        <f t="shared" si="3"/>
        <v>82</v>
      </c>
      <c r="M27" s="5">
        <v>45971</v>
      </c>
    </row>
    <row r="28" spans="2:13" x14ac:dyDescent="0.3">
      <c r="B28" s="1" t="s">
        <v>34</v>
      </c>
    </row>
  </sheetData>
  <conditionalFormatting sqref="J4:J14">
    <cfRule type="dataBar" priority="4">
      <dataBar>
        <cfvo type="min"/>
        <cfvo type="num" val="35"/>
        <color rgb="FF008AEF"/>
      </dataBar>
      <extLst>
        <ext xmlns:x14="http://schemas.microsoft.com/office/spreadsheetml/2009/9/main" uri="{B025F937-C7B1-47D3-B67F-A62EFF666E3E}">
          <x14:id>{BC899B03-5E81-4A8F-AC7D-D050DEDEDF0F}</x14:id>
        </ext>
      </extLst>
    </cfRule>
  </conditionalFormatting>
  <conditionalFormatting sqref="I4:I14">
    <cfRule type="dataBar" priority="3">
      <dataBar>
        <cfvo type="min"/>
        <cfvo type="num" val="10000"/>
        <color rgb="FFFF5353"/>
      </dataBar>
      <extLst>
        <ext xmlns:x14="http://schemas.microsoft.com/office/spreadsheetml/2009/9/main" uri="{B025F937-C7B1-47D3-B67F-A62EFF666E3E}">
          <x14:id>{E2ABC482-1437-4B35-AEF0-D5055D3B0274}</x14:id>
        </ext>
      </extLst>
    </cfRule>
  </conditionalFormatting>
  <conditionalFormatting sqref="I16:I26">
    <cfRule type="dataBar" priority="2">
      <dataBar>
        <cfvo type="min"/>
        <cfvo type="num" val="10000"/>
        <color rgb="FFFF5353"/>
      </dataBar>
      <extLst>
        <ext xmlns:x14="http://schemas.microsoft.com/office/spreadsheetml/2009/9/main" uri="{B025F937-C7B1-47D3-B67F-A62EFF666E3E}">
          <x14:id>{D9602C69-5FDD-4152-B94E-BB20793BC37B}</x14:id>
        </ext>
      </extLst>
    </cfRule>
  </conditionalFormatting>
  <conditionalFormatting sqref="J16:J26">
    <cfRule type="dataBar" priority="1">
      <dataBar>
        <cfvo type="min"/>
        <cfvo type="num" val="30"/>
        <color rgb="FF008AEF"/>
      </dataBar>
      <extLst>
        <ext xmlns:x14="http://schemas.microsoft.com/office/spreadsheetml/2009/9/main" uri="{B025F937-C7B1-47D3-B67F-A62EFF666E3E}">
          <x14:id>{3AA88015-4F93-4041-BC5A-DB176247F760}</x14:id>
        </ext>
      </extLst>
    </cfRule>
  </conditionalFormatting>
  <conditionalFormatting sqref="L17:L27">
    <cfRule type="dataBar" priority="1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{DFA06E01-A742-4658-BE07-076C6F7D559B}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C899B03-5E81-4A8F-AC7D-D050DEDEDF0F}">
            <x14:dataBar minLength="0" maxLength="100" gradient="0">
              <x14:cfvo type="autoMin"/>
              <x14:cfvo type="num">
                <xm:f>35</xm:f>
              </x14:cfvo>
              <x14:negativeFillColor rgb="FFFF0000"/>
              <x14:axisColor rgb="FF000000"/>
            </x14:dataBar>
          </x14:cfRule>
          <xm:sqref>J4:J14</xm:sqref>
        </x14:conditionalFormatting>
        <x14:conditionalFormatting xmlns:xm="http://schemas.microsoft.com/office/excel/2006/main">
          <x14:cfRule type="dataBar" id="{E2ABC482-1437-4B35-AEF0-D5055D3B0274}">
            <x14:dataBar minLength="0" maxLength="100" gradient="0">
              <x14:cfvo type="autoMin"/>
              <x14:cfvo type="num">
                <xm:f>10000</xm:f>
              </x14:cfvo>
              <x14:negativeFillColor rgb="FFFF0000"/>
              <x14:axisColor rgb="FF000000"/>
            </x14:dataBar>
          </x14:cfRule>
          <xm:sqref>I4:I14</xm:sqref>
        </x14:conditionalFormatting>
        <x14:conditionalFormatting xmlns:xm="http://schemas.microsoft.com/office/excel/2006/main">
          <x14:cfRule type="dataBar" id="{D9602C69-5FDD-4152-B94E-BB20793BC37B}">
            <x14:dataBar minLength="0" maxLength="100" gradient="0">
              <x14:cfvo type="autoMin"/>
              <x14:cfvo type="num">
                <xm:f>10000</xm:f>
              </x14:cfvo>
              <x14:negativeFillColor rgb="FFFF0000"/>
              <x14:axisColor rgb="FF000000"/>
            </x14:dataBar>
          </x14:cfRule>
          <xm:sqref>I16:I26</xm:sqref>
        </x14:conditionalFormatting>
        <x14:conditionalFormatting xmlns:xm="http://schemas.microsoft.com/office/excel/2006/main">
          <x14:cfRule type="dataBar" id="{3AA88015-4F93-4041-BC5A-DB176247F760}">
            <x14:dataBar minLength="0" maxLength="100" gradient="0">
              <x14:cfvo type="autoMin"/>
              <x14:cfvo type="num">
                <xm:f>30</xm:f>
              </x14:cfvo>
              <x14:negativeFillColor rgb="FFFF0000"/>
              <x14:axisColor rgb="FF000000"/>
            </x14:dataBar>
          </x14:cfRule>
          <xm:sqref>J16:J26</xm:sqref>
        </x14:conditionalFormatting>
        <x14:conditionalFormatting xmlns:xm="http://schemas.microsoft.com/office/excel/2006/main">
          <x14:cfRule type="dataBar" id="{DFA06E01-A742-4658-BE07-076C6F7D55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L17:L27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EAA1E-5B6B-4FC7-9FE5-6150E51A1A48}">
  <dimension ref="B1:R27"/>
  <sheetViews>
    <sheetView tabSelected="1" zoomScale="110" zoomScaleNormal="110" workbookViewId="0">
      <pane ySplit="2" topLeftCell="A3" activePane="bottomLeft" state="frozen"/>
      <selection pane="bottomLeft"/>
    </sheetView>
  </sheetViews>
  <sheetFormatPr defaultRowHeight="11.4" x14ac:dyDescent="0.3"/>
  <cols>
    <col min="1" max="1" width="3.44140625" style="1" bestFit="1" customWidth="1"/>
    <col min="2" max="2" width="6.21875" style="1" bestFit="1" customWidth="1"/>
    <col min="3" max="4" width="10" style="1" bestFit="1" customWidth="1"/>
    <col min="5" max="5" width="8.5546875" style="1" bestFit="1" customWidth="1"/>
    <col min="6" max="6" width="9" style="1" bestFit="1" customWidth="1"/>
    <col min="7" max="7" width="7.6640625" style="1" bestFit="1" customWidth="1"/>
    <col min="8" max="8" width="11.5546875" style="1" bestFit="1" customWidth="1"/>
    <col min="9" max="10" width="12.77734375" style="1" customWidth="1"/>
    <col min="11" max="11" width="4.21875" style="1" bestFit="1" customWidth="1"/>
    <col min="12" max="12" width="12.77734375" style="1" customWidth="1"/>
    <col min="13" max="13" width="8.88671875" style="1" bestFit="1" customWidth="1"/>
    <col min="14" max="14" width="3.44140625" style="1" bestFit="1" customWidth="1"/>
    <col min="15" max="15" width="16.109375" style="1" bestFit="1" customWidth="1"/>
    <col min="16" max="16" width="17.88671875" style="1" bestFit="1" customWidth="1"/>
    <col min="17" max="16384" width="8.88671875" style="1"/>
  </cols>
  <sheetData>
    <row r="1" spans="2:18" x14ac:dyDescent="0.3">
      <c r="B1" s="1" t="s">
        <v>0</v>
      </c>
      <c r="C1" s="1" t="s">
        <v>5</v>
      </c>
      <c r="D1" s="1" t="s">
        <v>5</v>
      </c>
      <c r="E1" s="1" t="s">
        <v>6</v>
      </c>
      <c r="F1" s="1" t="s">
        <v>6</v>
      </c>
      <c r="G1" s="1" t="s">
        <v>7</v>
      </c>
      <c r="H1" s="1" t="s">
        <v>8</v>
      </c>
      <c r="I1" s="1" t="str">
        <f>G1</f>
        <v>#of Lines</v>
      </c>
      <c r="J1" s="1" t="str">
        <f>H1</f>
        <v>#of Datasets</v>
      </c>
    </row>
    <row r="2" spans="2:18" x14ac:dyDescent="0.3">
      <c r="C2" s="1" t="s">
        <v>9</v>
      </c>
      <c r="D2" s="1" t="s">
        <v>10</v>
      </c>
      <c r="E2" s="1" t="s">
        <v>11</v>
      </c>
      <c r="F2" s="1" t="s">
        <v>12</v>
      </c>
      <c r="H2" s="1" t="s">
        <v>13</v>
      </c>
      <c r="J2" s="1" t="str">
        <f>H2</f>
        <v>(non-Adopted)</v>
      </c>
    </row>
    <row r="3" spans="2:18" ht="12" x14ac:dyDescent="0.3">
      <c r="B3" s="2" t="s">
        <v>21</v>
      </c>
      <c r="O3" s="6" t="s">
        <v>50</v>
      </c>
      <c r="P3" s="6" t="s">
        <v>70</v>
      </c>
      <c r="Q3" s="6"/>
      <c r="R3" s="6"/>
    </row>
    <row r="4" spans="2:18" x14ac:dyDescent="0.3">
      <c r="B4" s="1" t="s">
        <v>14</v>
      </c>
      <c r="C4" s="1">
        <v>3</v>
      </c>
      <c r="D4" s="1">
        <v>2</v>
      </c>
      <c r="E4" s="1">
        <v>6</v>
      </c>
      <c r="F4" s="1">
        <v>4</v>
      </c>
      <c r="G4" s="1">
        <v>93</v>
      </c>
      <c r="H4" s="1">
        <v>1</v>
      </c>
      <c r="I4" s="3">
        <f>G4</f>
        <v>93</v>
      </c>
      <c r="J4" s="3">
        <f>H4</f>
        <v>1</v>
      </c>
      <c r="O4" s="6" t="s">
        <v>51</v>
      </c>
      <c r="P4" s="6" t="s">
        <v>71</v>
      </c>
      <c r="Q4" s="6"/>
      <c r="R4" s="6"/>
    </row>
    <row r="5" spans="2:18" x14ac:dyDescent="0.3">
      <c r="B5" s="1" t="s">
        <v>15</v>
      </c>
      <c r="C5" s="1">
        <v>7</v>
      </c>
      <c r="D5" s="1">
        <v>4</v>
      </c>
      <c r="E5" s="1">
        <v>20</v>
      </c>
      <c r="F5" s="1">
        <v>12</v>
      </c>
      <c r="G5" s="1">
        <v>243</v>
      </c>
      <c r="H5" s="1">
        <v>3</v>
      </c>
      <c r="I5" s="3">
        <f t="shared" ref="I5:I13" si="0">G5</f>
        <v>243</v>
      </c>
      <c r="J5" s="3">
        <f t="shared" ref="J5:J13" si="1">H5</f>
        <v>3</v>
      </c>
      <c r="O5" s="6" t="s">
        <v>52</v>
      </c>
      <c r="P5" s="6">
        <v>25032</v>
      </c>
      <c r="Q5" s="6"/>
      <c r="R5" s="6"/>
    </row>
    <row r="6" spans="2:18" x14ac:dyDescent="0.3">
      <c r="B6" s="1" t="s">
        <v>16</v>
      </c>
      <c r="C6" s="1">
        <v>8</v>
      </c>
      <c r="D6" s="1">
        <v>12</v>
      </c>
      <c r="E6" s="1">
        <v>19</v>
      </c>
      <c r="F6" s="1">
        <v>27</v>
      </c>
      <c r="G6" s="1">
        <v>258</v>
      </c>
      <c r="H6" s="1">
        <v>3</v>
      </c>
      <c r="I6" s="3">
        <f t="shared" si="0"/>
        <v>258</v>
      </c>
      <c r="J6" s="3">
        <f t="shared" si="1"/>
        <v>3</v>
      </c>
      <c r="O6" s="6" t="s">
        <v>53</v>
      </c>
      <c r="P6" s="6">
        <v>10338</v>
      </c>
      <c r="Q6" s="6"/>
      <c r="R6" s="6"/>
    </row>
    <row r="7" spans="2:18" x14ac:dyDescent="0.3">
      <c r="B7" s="1" t="s">
        <v>17</v>
      </c>
      <c r="C7" s="1">
        <v>21</v>
      </c>
      <c r="D7" s="1">
        <v>12</v>
      </c>
      <c r="E7" s="1">
        <v>53</v>
      </c>
      <c r="F7" s="1">
        <v>30</v>
      </c>
      <c r="G7" s="1">
        <v>386</v>
      </c>
      <c r="H7" s="1">
        <v>4</v>
      </c>
      <c r="I7" s="3">
        <f t="shared" si="0"/>
        <v>386</v>
      </c>
      <c r="J7" s="3">
        <f t="shared" si="1"/>
        <v>4</v>
      </c>
      <c r="O7" s="6" t="s">
        <v>54</v>
      </c>
      <c r="P7" s="6">
        <v>14694</v>
      </c>
      <c r="Q7" s="6"/>
      <c r="R7" s="6"/>
    </row>
    <row r="8" spans="2:18" x14ac:dyDescent="0.3">
      <c r="B8" s="1" t="s">
        <v>3</v>
      </c>
      <c r="C8" s="1">
        <v>27</v>
      </c>
      <c r="D8" s="1">
        <v>26</v>
      </c>
      <c r="E8" s="1">
        <v>80</v>
      </c>
      <c r="F8" s="1">
        <v>70</v>
      </c>
      <c r="G8" s="1">
        <v>398</v>
      </c>
      <c r="H8" s="1">
        <v>7</v>
      </c>
      <c r="I8" s="3">
        <f t="shared" si="0"/>
        <v>398</v>
      </c>
      <c r="J8" s="3">
        <f t="shared" si="1"/>
        <v>7</v>
      </c>
      <c r="O8" s="6" t="s">
        <v>55</v>
      </c>
      <c r="P8" s="6" t="s">
        <v>56</v>
      </c>
      <c r="Q8" s="6"/>
      <c r="R8" s="6"/>
    </row>
    <row r="9" spans="2:18" x14ac:dyDescent="0.3">
      <c r="B9" s="1" t="s">
        <v>4</v>
      </c>
      <c r="C9" s="1">
        <v>141</v>
      </c>
      <c r="D9" s="1">
        <v>136</v>
      </c>
      <c r="E9" s="1">
        <v>393</v>
      </c>
      <c r="F9" s="1">
        <v>310</v>
      </c>
      <c r="G9" s="1">
        <v>1043</v>
      </c>
      <c r="H9" s="1">
        <v>10</v>
      </c>
      <c r="I9" s="3">
        <f t="shared" si="0"/>
        <v>1043</v>
      </c>
      <c r="J9" s="3">
        <f t="shared" si="1"/>
        <v>10</v>
      </c>
      <c r="O9" s="6" t="s">
        <v>57</v>
      </c>
      <c r="P9" s="6">
        <v>14815</v>
      </c>
      <c r="Q9" s="6"/>
      <c r="R9" s="6"/>
    </row>
    <row r="10" spans="2:18" x14ac:dyDescent="0.3">
      <c r="B10" s="1" t="s">
        <v>18</v>
      </c>
      <c r="C10" s="1">
        <v>352</v>
      </c>
      <c r="D10" s="1">
        <v>1136</v>
      </c>
      <c r="E10" s="1">
        <v>1042</v>
      </c>
      <c r="F10" s="1">
        <v>2396</v>
      </c>
      <c r="G10" s="1">
        <v>6896</v>
      </c>
      <c r="H10" s="1">
        <v>24</v>
      </c>
      <c r="I10" s="3">
        <f t="shared" si="0"/>
        <v>6896</v>
      </c>
      <c r="J10" s="3">
        <f t="shared" si="1"/>
        <v>24</v>
      </c>
      <c r="O10" s="6" t="s">
        <v>58</v>
      </c>
      <c r="P10" s="6">
        <v>10459</v>
      </c>
      <c r="Q10" s="6"/>
      <c r="R10" s="6"/>
    </row>
    <row r="11" spans="2:18" x14ac:dyDescent="0.3">
      <c r="B11" s="1" t="s">
        <v>19</v>
      </c>
      <c r="C11" s="1">
        <v>45</v>
      </c>
      <c r="D11" s="1">
        <v>37</v>
      </c>
      <c r="E11" s="1">
        <v>144</v>
      </c>
      <c r="F11" s="1">
        <v>92</v>
      </c>
      <c r="G11" s="1">
        <v>639</v>
      </c>
      <c r="H11" s="1">
        <v>9</v>
      </c>
      <c r="I11" s="3">
        <f t="shared" si="0"/>
        <v>639</v>
      </c>
      <c r="J11" s="3">
        <f t="shared" si="1"/>
        <v>9</v>
      </c>
      <c r="O11" s="6" t="s">
        <v>59</v>
      </c>
      <c r="P11" s="6" t="s">
        <v>60</v>
      </c>
      <c r="Q11" s="6"/>
      <c r="R11" s="6"/>
    </row>
    <row r="12" spans="2:18" x14ac:dyDescent="0.3">
      <c r="B12" s="1" t="s">
        <v>2</v>
      </c>
      <c r="C12" s="1">
        <v>14</v>
      </c>
      <c r="D12" s="1">
        <v>0</v>
      </c>
      <c r="E12" s="1">
        <v>35</v>
      </c>
      <c r="F12" s="1">
        <v>0</v>
      </c>
      <c r="G12" s="1">
        <v>165</v>
      </c>
      <c r="H12" s="1">
        <v>2</v>
      </c>
      <c r="I12" s="3">
        <f t="shared" si="0"/>
        <v>165</v>
      </c>
      <c r="J12" s="3">
        <f t="shared" si="1"/>
        <v>2</v>
      </c>
      <c r="O12" s="6"/>
      <c r="P12" s="6"/>
      <c r="Q12" s="6"/>
      <c r="R12" s="6"/>
    </row>
    <row r="13" spans="2:18" x14ac:dyDescent="0.3">
      <c r="B13" s="1" t="s">
        <v>20</v>
      </c>
      <c r="C13" s="1">
        <v>1</v>
      </c>
      <c r="D13" s="1">
        <v>0</v>
      </c>
      <c r="E13" s="1">
        <v>1</v>
      </c>
      <c r="F13" s="1">
        <v>0</v>
      </c>
      <c r="G13" s="1">
        <v>37</v>
      </c>
      <c r="H13" s="1">
        <v>0</v>
      </c>
      <c r="I13" s="3">
        <f t="shared" si="0"/>
        <v>37</v>
      </c>
      <c r="J13" s="3">
        <f t="shared" si="1"/>
        <v>0</v>
      </c>
      <c r="O13" s="6"/>
      <c r="P13" s="6"/>
      <c r="Q13" s="6"/>
      <c r="R13" s="6"/>
    </row>
    <row r="14" spans="2:18" x14ac:dyDescent="0.3">
      <c r="B14" s="1" t="s">
        <v>34</v>
      </c>
      <c r="C14" s="1">
        <v>619</v>
      </c>
      <c r="D14" s="1">
        <v>1365</v>
      </c>
      <c r="E14" s="1">
        <v>1793</v>
      </c>
      <c r="F14" s="1">
        <v>2941</v>
      </c>
      <c r="G14" s="1">
        <v>11068</v>
      </c>
      <c r="H14" s="1">
        <v>63</v>
      </c>
      <c r="I14" s="3"/>
      <c r="J14" s="3"/>
      <c r="O14" s="6"/>
      <c r="P14" s="6"/>
      <c r="Q14" s="6" t="s">
        <v>69</v>
      </c>
      <c r="R14" s="6" t="s">
        <v>68</v>
      </c>
    </row>
    <row r="15" spans="2:18" ht="12" x14ac:dyDescent="0.3">
      <c r="B15" s="2" t="s">
        <v>38</v>
      </c>
      <c r="K15" s="1" t="s">
        <v>1</v>
      </c>
      <c r="L15" s="1" t="s">
        <v>36</v>
      </c>
      <c r="M15" s="1" t="s">
        <v>22</v>
      </c>
      <c r="O15" s="6" t="s">
        <v>61</v>
      </c>
      <c r="P15" s="6">
        <f>G14</f>
        <v>11068</v>
      </c>
      <c r="Q15" s="6">
        <v>1E-3</v>
      </c>
      <c r="R15" s="6">
        <f>P15*Q15</f>
        <v>11.068</v>
      </c>
    </row>
    <row r="16" spans="2:18" x14ac:dyDescent="0.3">
      <c r="B16" s="1" t="s">
        <v>35</v>
      </c>
      <c r="C16" s="1">
        <v>1</v>
      </c>
      <c r="D16" s="1">
        <v>0</v>
      </c>
      <c r="E16" s="1">
        <v>1</v>
      </c>
      <c r="F16" s="1">
        <v>0</v>
      </c>
      <c r="G16" s="1">
        <v>42</v>
      </c>
      <c r="H16" s="1">
        <v>0</v>
      </c>
      <c r="I16" s="3">
        <f>G16</f>
        <v>42</v>
      </c>
      <c r="J16" s="3">
        <f>H16</f>
        <v>0</v>
      </c>
      <c r="K16" s="4">
        <v>8</v>
      </c>
      <c r="L16" s="3">
        <f t="shared" ref="L16:L26" si="2">K16</f>
        <v>8</v>
      </c>
      <c r="M16" s="4">
        <v>20250509</v>
      </c>
      <c r="O16" s="6" t="s">
        <v>62</v>
      </c>
      <c r="P16" s="6">
        <v>11</v>
      </c>
      <c r="Q16" s="6">
        <v>1</v>
      </c>
      <c r="R16" s="6">
        <f t="shared" ref="R16:R21" si="3">P16*Q16</f>
        <v>11</v>
      </c>
    </row>
    <row r="17" spans="2:18" x14ac:dyDescent="0.3">
      <c r="B17" s="1" t="s">
        <v>14</v>
      </c>
      <c r="C17" s="1">
        <v>3</v>
      </c>
      <c r="D17" s="1">
        <v>2</v>
      </c>
      <c r="E17" s="1">
        <v>7</v>
      </c>
      <c r="F17" s="1">
        <v>4</v>
      </c>
      <c r="G17" s="1">
        <v>117</v>
      </c>
      <c r="H17" s="1">
        <v>2</v>
      </c>
      <c r="I17" s="3">
        <f t="shared" ref="I17:J25" si="4">G17</f>
        <v>117</v>
      </c>
      <c r="J17" s="3">
        <f t="shared" si="4"/>
        <v>2</v>
      </c>
      <c r="K17" s="4">
        <v>31</v>
      </c>
      <c r="L17" s="3">
        <f t="shared" si="2"/>
        <v>31</v>
      </c>
      <c r="M17" s="4">
        <v>20250516</v>
      </c>
      <c r="O17" s="6" t="s">
        <v>63</v>
      </c>
      <c r="P17" s="6">
        <f>P9</f>
        <v>14815</v>
      </c>
      <c r="Q17" s="6">
        <v>0.02</v>
      </c>
      <c r="R17" s="6">
        <f t="shared" si="3"/>
        <v>296.3</v>
      </c>
    </row>
    <row r="18" spans="2:18" x14ac:dyDescent="0.3">
      <c r="B18" s="1" t="s">
        <v>15</v>
      </c>
      <c r="C18" s="1">
        <v>7</v>
      </c>
      <c r="D18" s="1">
        <v>4</v>
      </c>
      <c r="E18" s="1">
        <v>20</v>
      </c>
      <c r="F18" s="1">
        <v>12</v>
      </c>
      <c r="G18" s="1">
        <v>329</v>
      </c>
      <c r="H18" s="1">
        <v>3</v>
      </c>
      <c r="I18" s="3">
        <f t="shared" si="4"/>
        <v>329</v>
      </c>
      <c r="J18" s="3">
        <f t="shared" si="4"/>
        <v>3</v>
      </c>
      <c r="K18" s="4">
        <v>57</v>
      </c>
      <c r="L18" s="3">
        <f t="shared" si="2"/>
        <v>57</v>
      </c>
      <c r="M18" s="4">
        <v>20250528</v>
      </c>
      <c r="O18" s="6" t="s">
        <v>64</v>
      </c>
      <c r="P18" s="6">
        <f>H27-H14</f>
        <v>24</v>
      </c>
      <c r="Q18" s="6">
        <v>1</v>
      </c>
      <c r="R18" s="6">
        <f t="shared" si="3"/>
        <v>24</v>
      </c>
    </row>
    <row r="19" spans="2:18" x14ac:dyDescent="0.3">
      <c r="B19" s="1" t="s">
        <v>16</v>
      </c>
      <c r="C19" s="1">
        <v>8</v>
      </c>
      <c r="D19" s="1">
        <v>12</v>
      </c>
      <c r="E19" s="1">
        <v>21</v>
      </c>
      <c r="F19" s="1">
        <v>29</v>
      </c>
      <c r="G19" s="1">
        <v>390</v>
      </c>
      <c r="H19" s="1">
        <v>5</v>
      </c>
      <c r="I19" s="3">
        <f t="shared" si="4"/>
        <v>390</v>
      </c>
      <c r="J19" s="3">
        <f t="shared" si="4"/>
        <v>5</v>
      </c>
      <c r="K19" s="4">
        <v>48</v>
      </c>
      <c r="L19" s="3">
        <f t="shared" si="2"/>
        <v>48</v>
      </c>
      <c r="M19" s="4">
        <v>20250603</v>
      </c>
      <c r="O19" s="6" t="s">
        <v>65</v>
      </c>
      <c r="P19" s="6">
        <f>C27-C14</f>
        <v>103</v>
      </c>
      <c r="Q19" s="6">
        <v>0.1</v>
      </c>
      <c r="R19" s="6">
        <f t="shared" si="3"/>
        <v>10.3</v>
      </c>
    </row>
    <row r="20" spans="2:18" x14ac:dyDescent="0.3">
      <c r="B20" s="1" t="s">
        <v>17</v>
      </c>
      <c r="C20" s="1">
        <v>19</v>
      </c>
      <c r="D20" s="1">
        <v>12</v>
      </c>
      <c r="E20" s="1">
        <v>52</v>
      </c>
      <c r="F20" s="1">
        <v>34</v>
      </c>
      <c r="G20" s="1">
        <v>574</v>
      </c>
      <c r="H20" s="1">
        <v>6</v>
      </c>
      <c r="I20" s="3">
        <f t="shared" si="4"/>
        <v>574</v>
      </c>
      <c r="J20" s="3">
        <f t="shared" si="4"/>
        <v>6</v>
      </c>
      <c r="K20" s="4">
        <v>65</v>
      </c>
      <c r="L20" s="3">
        <f t="shared" si="2"/>
        <v>65</v>
      </c>
      <c r="M20" s="4">
        <v>20250616</v>
      </c>
      <c r="O20" s="6" t="s">
        <v>66</v>
      </c>
      <c r="P20" s="6">
        <f>D27-D14</f>
        <v>-50</v>
      </c>
      <c r="Q20" s="6">
        <v>0.1</v>
      </c>
      <c r="R20" s="6">
        <f t="shared" si="3"/>
        <v>-5</v>
      </c>
    </row>
    <row r="21" spans="2:18" x14ac:dyDescent="0.3">
      <c r="B21" s="1" t="s">
        <v>3</v>
      </c>
      <c r="C21" s="1">
        <v>36</v>
      </c>
      <c r="D21" s="1">
        <v>34</v>
      </c>
      <c r="E21" s="1">
        <v>126</v>
      </c>
      <c r="F21" s="1">
        <v>106</v>
      </c>
      <c r="G21" s="1">
        <v>925</v>
      </c>
      <c r="H21" s="1">
        <v>11</v>
      </c>
      <c r="I21" s="3">
        <f t="shared" si="4"/>
        <v>925</v>
      </c>
      <c r="J21" s="3">
        <f t="shared" si="4"/>
        <v>11</v>
      </c>
      <c r="K21" s="4">
        <v>72</v>
      </c>
      <c r="L21" s="3">
        <f t="shared" si="2"/>
        <v>72</v>
      </c>
      <c r="M21" s="4">
        <v>20250324</v>
      </c>
      <c r="O21" s="6" t="s">
        <v>67</v>
      </c>
      <c r="P21" s="6">
        <v>42</v>
      </c>
      <c r="Q21" s="6">
        <v>1</v>
      </c>
      <c r="R21" s="6">
        <f t="shared" si="3"/>
        <v>42</v>
      </c>
    </row>
    <row r="22" spans="2:18" ht="12" x14ac:dyDescent="0.3">
      <c r="B22" s="1" t="s">
        <v>4</v>
      </c>
      <c r="C22" s="1">
        <v>200</v>
      </c>
      <c r="D22" s="1">
        <v>147</v>
      </c>
      <c r="E22" s="1">
        <v>604</v>
      </c>
      <c r="F22" s="1">
        <v>413</v>
      </c>
      <c r="G22" s="1">
        <v>2839</v>
      </c>
      <c r="H22" s="1">
        <v>15</v>
      </c>
      <c r="I22" s="3">
        <f t="shared" si="4"/>
        <v>2839</v>
      </c>
      <c r="J22" s="3">
        <f t="shared" si="4"/>
        <v>15</v>
      </c>
      <c r="K22" s="4">
        <v>309</v>
      </c>
      <c r="L22" s="3">
        <f t="shared" si="2"/>
        <v>309</v>
      </c>
      <c r="M22" s="4">
        <v>20250820</v>
      </c>
      <c r="O22" s="6" t="s">
        <v>72</v>
      </c>
      <c r="P22" s="6"/>
      <c r="Q22" s="6"/>
      <c r="R22" s="7">
        <f>SUM(R15:R21)</f>
        <v>389.66800000000001</v>
      </c>
    </row>
    <row r="23" spans="2:18" x14ac:dyDescent="0.3">
      <c r="B23" s="1" t="s">
        <v>18</v>
      </c>
      <c r="C23" s="1">
        <v>370</v>
      </c>
      <c r="D23" s="1">
        <v>1067</v>
      </c>
      <c r="E23" s="1">
        <v>1142</v>
      </c>
      <c r="F23" s="1">
        <v>2318</v>
      </c>
      <c r="G23" s="1">
        <v>9007</v>
      </c>
      <c r="H23" s="1">
        <v>28</v>
      </c>
      <c r="I23" s="3">
        <f t="shared" si="4"/>
        <v>9007</v>
      </c>
      <c r="J23" s="3">
        <f t="shared" si="4"/>
        <v>28</v>
      </c>
      <c r="K23" s="4">
        <v>591</v>
      </c>
      <c r="L23" s="3">
        <f t="shared" si="2"/>
        <v>591</v>
      </c>
      <c r="M23" s="4">
        <v>20251024</v>
      </c>
    </row>
    <row r="24" spans="2:18" x14ac:dyDescent="0.3">
      <c r="B24" s="1" t="s">
        <v>19</v>
      </c>
      <c r="C24" s="1">
        <v>62</v>
      </c>
      <c r="D24" s="1">
        <v>37</v>
      </c>
      <c r="E24" s="1">
        <v>201</v>
      </c>
      <c r="F24" s="1">
        <v>92</v>
      </c>
      <c r="G24" s="1">
        <v>1240</v>
      </c>
      <c r="H24" s="1">
        <v>11</v>
      </c>
      <c r="I24" s="3">
        <f t="shared" si="4"/>
        <v>1240</v>
      </c>
      <c r="J24" s="3">
        <f t="shared" si="4"/>
        <v>11</v>
      </c>
      <c r="K24" s="4">
        <v>193</v>
      </c>
      <c r="L24" s="3">
        <f t="shared" si="2"/>
        <v>193</v>
      </c>
      <c r="M24" s="4">
        <v>20250425</v>
      </c>
    </row>
    <row r="25" spans="2:18" x14ac:dyDescent="0.3">
      <c r="B25" s="1" t="s">
        <v>2</v>
      </c>
      <c r="C25" s="1">
        <v>14</v>
      </c>
      <c r="D25" s="1">
        <v>0</v>
      </c>
      <c r="E25" s="1">
        <v>37</v>
      </c>
      <c r="F25" s="1">
        <v>0</v>
      </c>
      <c r="G25" s="1">
        <v>306</v>
      </c>
      <c r="H25" s="1">
        <v>3</v>
      </c>
      <c r="I25" s="3">
        <f t="shared" si="4"/>
        <v>306</v>
      </c>
      <c r="J25" s="3">
        <f t="shared" si="4"/>
        <v>3</v>
      </c>
      <c r="K25" s="4">
        <v>61</v>
      </c>
      <c r="L25" s="3">
        <f t="shared" si="2"/>
        <v>61</v>
      </c>
      <c r="M25" s="4">
        <v>20250506</v>
      </c>
    </row>
    <row r="26" spans="2:18" x14ac:dyDescent="0.3">
      <c r="B26" s="1" t="s">
        <v>20</v>
      </c>
      <c r="C26" s="1">
        <v>2</v>
      </c>
      <c r="D26" s="1">
        <v>0</v>
      </c>
      <c r="E26" s="1">
        <v>6</v>
      </c>
      <c r="F26" s="1">
        <v>0</v>
      </c>
      <c r="G26" s="1">
        <v>125</v>
      </c>
      <c r="H26" s="1">
        <v>3</v>
      </c>
      <c r="I26" s="3">
        <f>G26</f>
        <v>125</v>
      </c>
      <c r="J26" s="3">
        <f>H26</f>
        <v>3</v>
      </c>
      <c r="K26" s="4">
        <v>33</v>
      </c>
      <c r="L26" s="3">
        <f t="shared" si="2"/>
        <v>33</v>
      </c>
      <c r="M26" s="4">
        <v>20250502</v>
      </c>
    </row>
    <row r="27" spans="2:18" x14ac:dyDescent="0.3">
      <c r="B27" s="1" t="s">
        <v>34</v>
      </c>
      <c r="C27" s="1">
        <v>722</v>
      </c>
      <c r="D27" s="1">
        <v>1315</v>
      </c>
      <c r="E27" s="1">
        <v>2217</v>
      </c>
      <c r="F27" s="1">
        <v>3008</v>
      </c>
      <c r="G27" s="1">
        <v>15894</v>
      </c>
      <c r="H27" s="1">
        <v>87</v>
      </c>
      <c r="I27" s="4"/>
      <c r="J27" s="4"/>
      <c r="K27" s="4"/>
      <c r="L27" s="3"/>
      <c r="M27" s="4"/>
    </row>
  </sheetData>
  <conditionalFormatting sqref="L16:L27">
    <cfRule type="dataBar" priority="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{F2574CC2-EDEA-482B-8BCC-0FBF24B57419}</x14:id>
        </ext>
      </extLst>
    </cfRule>
  </conditionalFormatting>
  <conditionalFormatting sqref="J4:J14">
    <cfRule type="dataBar" priority="7">
      <dataBar>
        <cfvo type="min"/>
        <cfvo type="num" val="35"/>
        <color rgb="FF008AEF"/>
      </dataBar>
      <extLst>
        <ext xmlns:x14="http://schemas.microsoft.com/office/spreadsheetml/2009/9/main" uri="{B025F937-C7B1-47D3-B67F-A62EFF666E3E}">
          <x14:id>{C22CA315-5F9A-4C1D-B36F-EC10937B6334}</x14:id>
        </ext>
      </extLst>
    </cfRule>
  </conditionalFormatting>
  <conditionalFormatting sqref="I4:I14">
    <cfRule type="dataBar" priority="6">
      <dataBar>
        <cfvo type="min"/>
        <cfvo type="num" val="10000"/>
        <color rgb="FFFF5353"/>
      </dataBar>
      <extLst>
        <ext xmlns:x14="http://schemas.microsoft.com/office/spreadsheetml/2009/9/main" uri="{B025F937-C7B1-47D3-B67F-A62EFF666E3E}">
          <x14:id>{E2C3812D-A00B-4F37-9760-5F6166653B15}</x14:id>
        </ext>
      </extLst>
    </cfRule>
  </conditionalFormatting>
  <conditionalFormatting sqref="I16:I26">
    <cfRule type="dataBar" priority="2">
      <dataBar>
        <cfvo type="min"/>
        <cfvo type="num" val="10000"/>
        <color rgb="FFFF5353"/>
      </dataBar>
      <extLst>
        <ext xmlns:x14="http://schemas.microsoft.com/office/spreadsheetml/2009/9/main" uri="{B025F937-C7B1-47D3-B67F-A62EFF666E3E}">
          <x14:id>{204E9222-10D4-45F9-8BBB-CEB54DFBBB92}</x14:id>
        </ext>
      </extLst>
    </cfRule>
  </conditionalFormatting>
  <conditionalFormatting sqref="J16:J26">
    <cfRule type="dataBar" priority="1">
      <dataBar>
        <cfvo type="min"/>
        <cfvo type="num" val="35"/>
        <color rgb="FF008AEF"/>
      </dataBar>
      <extLst>
        <ext xmlns:x14="http://schemas.microsoft.com/office/spreadsheetml/2009/9/main" uri="{B025F937-C7B1-47D3-B67F-A62EFF666E3E}">
          <x14:id>{52D9A8D1-6DAA-42DD-AAF5-734466B6D591}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2574CC2-EDEA-482B-8BCC-0FBF24B574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L16:L27</xm:sqref>
        </x14:conditionalFormatting>
        <x14:conditionalFormatting xmlns:xm="http://schemas.microsoft.com/office/excel/2006/main">
          <x14:cfRule type="dataBar" id="{C22CA315-5F9A-4C1D-B36F-EC10937B6334}">
            <x14:dataBar minLength="0" maxLength="100" gradient="0">
              <x14:cfvo type="autoMin"/>
              <x14:cfvo type="num">
                <xm:f>35</xm:f>
              </x14:cfvo>
              <x14:negativeFillColor rgb="FFFF0000"/>
              <x14:axisColor rgb="FF000000"/>
            </x14:dataBar>
          </x14:cfRule>
          <xm:sqref>J4:J14</xm:sqref>
        </x14:conditionalFormatting>
        <x14:conditionalFormatting xmlns:xm="http://schemas.microsoft.com/office/excel/2006/main">
          <x14:cfRule type="dataBar" id="{E2C3812D-A00B-4F37-9760-5F6166653B15}">
            <x14:dataBar minLength="0" maxLength="100" gradient="0">
              <x14:cfvo type="autoMin"/>
              <x14:cfvo type="num">
                <xm:f>10000</xm:f>
              </x14:cfvo>
              <x14:negativeFillColor rgb="FFFF0000"/>
              <x14:axisColor rgb="FF000000"/>
            </x14:dataBar>
          </x14:cfRule>
          <xm:sqref>I4:I14</xm:sqref>
        </x14:conditionalFormatting>
        <x14:conditionalFormatting xmlns:xm="http://schemas.microsoft.com/office/excel/2006/main">
          <x14:cfRule type="dataBar" id="{204E9222-10D4-45F9-8BBB-CEB54DFBBB92}">
            <x14:dataBar minLength="0" maxLength="100" gradient="0">
              <x14:cfvo type="autoMin"/>
              <x14:cfvo type="num">
                <xm:f>10000</xm:f>
              </x14:cfvo>
              <x14:negativeFillColor rgb="FFFF0000"/>
              <x14:axisColor rgb="FF000000"/>
            </x14:dataBar>
          </x14:cfRule>
          <xm:sqref>I16:I26</xm:sqref>
        </x14:conditionalFormatting>
        <x14:conditionalFormatting xmlns:xm="http://schemas.microsoft.com/office/excel/2006/main">
          <x14:cfRule type="dataBar" id="{52D9A8D1-6DAA-42DD-AAF5-734466B6D591}">
            <x14:dataBar minLength="0" maxLength="100" gradient="0">
              <x14:cfvo type="autoMin"/>
              <x14:cfvo type="num">
                <xm:f>35</xm:f>
              </x14:cfvo>
              <x14:negativeFillColor rgb="FFFF0000"/>
              <x14:axisColor rgb="FF000000"/>
            </x14:dataBar>
          </x14:cfRule>
          <xm:sqref>J16:J26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CCA53-37B6-48CB-9C5E-B61433B0B0BB}">
  <dimension ref="B1:M27"/>
  <sheetViews>
    <sheetView zoomScale="130" zoomScaleNormal="130" workbookViewId="0">
      <pane ySplit="2" topLeftCell="A3" activePane="bottomLeft" state="frozen"/>
      <selection pane="bottomLeft" activeCell="J3" sqref="J3"/>
    </sheetView>
  </sheetViews>
  <sheetFormatPr defaultRowHeight="11.4" x14ac:dyDescent="0.3"/>
  <cols>
    <col min="1" max="1" width="3.44140625" style="1" bestFit="1" customWidth="1"/>
    <col min="2" max="2" width="6.21875" style="1" bestFit="1" customWidth="1"/>
    <col min="3" max="4" width="10" style="1" bestFit="1" customWidth="1"/>
    <col min="5" max="5" width="8.5546875" style="1" bestFit="1" customWidth="1"/>
    <col min="6" max="6" width="9" style="1" bestFit="1" customWidth="1"/>
    <col min="7" max="7" width="7.6640625" style="1" bestFit="1" customWidth="1"/>
    <col min="8" max="8" width="11.5546875" style="1" bestFit="1" customWidth="1"/>
    <col min="9" max="10" width="12.77734375" style="1" customWidth="1"/>
    <col min="11" max="11" width="4.21875" style="1" bestFit="1" customWidth="1"/>
    <col min="12" max="12" width="12.77734375" style="1" customWidth="1"/>
    <col min="13" max="13" width="8.88671875" style="1" bestFit="1" customWidth="1"/>
    <col min="14" max="14" width="3.44140625" style="1" bestFit="1" customWidth="1"/>
    <col min="15" max="15" width="12.21875" style="1" customWidth="1"/>
    <col min="16" max="16384" width="8.88671875" style="1"/>
  </cols>
  <sheetData>
    <row r="1" spans="2:13" x14ac:dyDescent="0.3">
      <c r="B1" s="1" t="s">
        <v>0</v>
      </c>
      <c r="C1" s="1" t="s">
        <v>5</v>
      </c>
      <c r="D1" s="1" t="s">
        <v>5</v>
      </c>
      <c r="E1" s="1" t="s">
        <v>6</v>
      </c>
      <c r="F1" s="1" t="s">
        <v>6</v>
      </c>
      <c r="G1" s="1" t="s">
        <v>7</v>
      </c>
      <c r="H1" s="1" t="s">
        <v>8</v>
      </c>
      <c r="I1" s="1" t="str">
        <f>G1</f>
        <v>#of Lines</v>
      </c>
      <c r="J1" s="1" t="str">
        <f>H1</f>
        <v>#of Datasets</v>
      </c>
    </row>
    <row r="2" spans="2:13" x14ac:dyDescent="0.3">
      <c r="C2" s="1" t="s">
        <v>9</v>
      </c>
      <c r="D2" s="1" t="s">
        <v>10</v>
      </c>
      <c r="E2" s="1" t="s">
        <v>11</v>
      </c>
      <c r="F2" s="1" t="s">
        <v>12</v>
      </c>
      <c r="H2" s="1" t="s">
        <v>13</v>
      </c>
      <c r="J2" s="1" t="str">
        <f>H2</f>
        <v>(non-Adopted)</v>
      </c>
    </row>
    <row r="3" spans="2:13" ht="12" x14ac:dyDescent="0.3">
      <c r="B3" s="2" t="s">
        <v>37</v>
      </c>
    </row>
    <row r="4" spans="2:13" x14ac:dyDescent="0.3">
      <c r="B4" s="1" t="s">
        <v>39</v>
      </c>
      <c r="C4" s="1">
        <v>1</v>
      </c>
      <c r="D4" s="1">
        <v>0</v>
      </c>
      <c r="E4" s="1">
        <v>1</v>
      </c>
      <c r="F4" s="1">
        <v>0</v>
      </c>
      <c r="G4" s="1">
        <v>44</v>
      </c>
      <c r="H4" s="1">
        <v>0</v>
      </c>
      <c r="I4" s="3">
        <f>G4</f>
        <v>44</v>
      </c>
      <c r="J4" s="3">
        <f>H4</f>
        <v>0</v>
      </c>
    </row>
    <row r="5" spans="2:13" x14ac:dyDescent="0.3">
      <c r="B5" s="1" t="s">
        <v>40</v>
      </c>
      <c r="C5" s="1">
        <v>3</v>
      </c>
      <c r="D5" s="1">
        <v>2</v>
      </c>
      <c r="E5" s="1">
        <v>18</v>
      </c>
      <c r="F5" s="1">
        <v>11</v>
      </c>
      <c r="G5" s="1">
        <v>257</v>
      </c>
      <c r="H5" s="1">
        <v>6</v>
      </c>
      <c r="I5" s="3">
        <f t="shared" ref="I5:I13" si="0">G5</f>
        <v>257</v>
      </c>
      <c r="J5" s="3">
        <f t="shared" ref="J5:J13" si="1">H5</f>
        <v>6</v>
      </c>
    </row>
    <row r="6" spans="2:13" x14ac:dyDescent="0.3">
      <c r="B6" s="1" t="s">
        <v>41</v>
      </c>
      <c r="C6" s="1">
        <v>1</v>
      </c>
      <c r="D6" s="1">
        <v>0</v>
      </c>
      <c r="E6" s="1">
        <v>1</v>
      </c>
      <c r="F6" s="1">
        <v>0</v>
      </c>
      <c r="G6" s="1">
        <v>41</v>
      </c>
      <c r="H6" s="1">
        <v>1</v>
      </c>
      <c r="I6" s="3">
        <f t="shared" si="0"/>
        <v>41</v>
      </c>
      <c r="J6" s="3">
        <f t="shared" si="1"/>
        <v>1</v>
      </c>
    </row>
    <row r="7" spans="2:13" x14ac:dyDescent="0.3">
      <c r="B7" s="1" t="s">
        <v>42</v>
      </c>
      <c r="C7" s="1">
        <v>4</v>
      </c>
      <c r="D7" s="1">
        <v>3</v>
      </c>
      <c r="E7" s="1">
        <v>12</v>
      </c>
      <c r="F7" s="1">
        <v>8</v>
      </c>
      <c r="G7" s="1">
        <v>116</v>
      </c>
      <c r="H7" s="1">
        <v>4</v>
      </c>
      <c r="I7" s="3">
        <f t="shared" si="0"/>
        <v>116</v>
      </c>
      <c r="J7" s="3">
        <f t="shared" si="1"/>
        <v>4</v>
      </c>
    </row>
    <row r="8" spans="2:13" x14ac:dyDescent="0.3">
      <c r="B8" s="1" t="s">
        <v>43</v>
      </c>
      <c r="C8" s="1">
        <v>10</v>
      </c>
      <c r="D8" s="1">
        <v>9</v>
      </c>
      <c r="E8" s="1">
        <v>29</v>
      </c>
      <c r="F8" s="1">
        <v>21</v>
      </c>
      <c r="G8" s="1">
        <v>196</v>
      </c>
      <c r="H8" s="1">
        <v>5</v>
      </c>
      <c r="I8" s="3">
        <f t="shared" si="0"/>
        <v>196</v>
      </c>
      <c r="J8" s="3">
        <f t="shared" si="1"/>
        <v>5</v>
      </c>
    </row>
    <row r="9" spans="2:13" x14ac:dyDescent="0.3">
      <c r="B9" s="1" t="s">
        <v>44</v>
      </c>
      <c r="C9" s="1">
        <v>26</v>
      </c>
      <c r="D9" s="1">
        <v>39</v>
      </c>
      <c r="E9" s="1">
        <v>132</v>
      </c>
      <c r="F9" s="1">
        <v>106</v>
      </c>
      <c r="G9" s="1">
        <v>566</v>
      </c>
      <c r="H9" s="1">
        <v>16</v>
      </c>
      <c r="I9" s="3">
        <f t="shared" si="0"/>
        <v>566</v>
      </c>
      <c r="J9" s="3">
        <f t="shared" si="1"/>
        <v>16</v>
      </c>
    </row>
    <row r="10" spans="2:13" x14ac:dyDescent="0.3">
      <c r="B10" s="1" t="s">
        <v>45</v>
      </c>
      <c r="C10" s="1">
        <v>422</v>
      </c>
      <c r="D10" s="1">
        <v>417</v>
      </c>
      <c r="E10" s="1">
        <v>1147</v>
      </c>
      <c r="F10" s="1">
        <v>1049</v>
      </c>
      <c r="G10" s="1">
        <v>4110</v>
      </c>
      <c r="H10" s="1">
        <v>20</v>
      </c>
      <c r="I10" s="3">
        <f t="shared" si="0"/>
        <v>4110</v>
      </c>
      <c r="J10" s="3">
        <f t="shared" si="1"/>
        <v>20</v>
      </c>
    </row>
    <row r="11" spans="2:13" x14ac:dyDescent="0.3">
      <c r="B11" s="1" t="s">
        <v>46</v>
      </c>
      <c r="C11" s="1">
        <v>274</v>
      </c>
      <c r="D11" s="1">
        <v>1024</v>
      </c>
      <c r="E11" s="1">
        <v>853</v>
      </c>
      <c r="F11" s="1">
        <v>2129</v>
      </c>
      <c r="G11" s="1">
        <v>5356</v>
      </c>
      <c r="H11" s="1">
        <v>35</v>
      </c>
      <c r="I11" s="3">
        <f t="shared" si="0"/>
        <v>5356</v>
      </c>
      <c r="J11" s="3">
        <f t="shared" si="1"/>
        <v>35</v>
      </c>
    </row>
    <row r="12" spans="2:13" x14ac:dyDescent="0.3">
      <c r="B12" s="1" t="s">
        <v>47</v>
      </c>
      <c r="C12" s="1">
        <v>22</v>
      </c>
      <c r="D12" s="1">
        <v>5</v>
      </c>
      <c r="E12" s="1">
        <v>67</v>
      </c>
      <c r="F12" s="1">
        <v>13</v>
      </c>
      <c r="G12" s="1">
        <v>391</v>
      </c>
      <c r="H12" s="1">
        <v>5</v>
      </c>
      <c r="I12" s="3">
        <f t="shared" si="0"/>
        <v>391</v>
      </c>
      <c r="J12" s="3">
        <f t="shared" si="1"/>
        <v>5</v>
      </c>
    </row>
    <row r="13" spans="2:13" x14ac:dyDescent="0.3">
      <c r="B13" s="1" t="s">
        <v>48</v>
      </c>
      <c r="C13" s="1">
        <v>2</v>
      </c>
      <c r="D13" s="1">
        <v>1</v>
      </c>
      <c r="E13" s="1">
        <v>7</v>
      </c>
      <c r="F13" s="1">
        <v>3</v>
      </c>
      <c r="G13" s="1">
        <v>135</v>
      </c>
      <c r="H13" s="1">
        <v>3</v>
      </c>
      <c r="I13" s="3">
        <f t="shared" si="0"/>
        <v>135</v>
      </c>
      <c r="J13" s="3">
        <f t="shared" si="1"/>
        <v>3</v>
      </c>
    </row>
    <row r="14" spans="2:13" x14ac:dyDescent="0.3">
      <c r="B14" s="1" t="s">
        <v>34</v>
      </c>
      <c r="C14" s="1">
        <v>765</v>
      </c>
      <c r="D14" s="1">
        <v>1500</v>
      </c>
      <c r="E14" s="1">
        <v>2267</v>
      </c>
      <c r="F14" s="1">
        <v>3340</v>
      </c>
      <c r="G14" s="1">
        <v>11212</v>
      </c>
      <c r="H14" s="1">
        <v>95</v>
      </c>
      <c r="I14" s="3"/>
      <c r="J14" s="3"/>
    </row>
    <row r="15" spans="2:13" ht="12" x14ac:dyDescent="0.3">
      <c r="B15" s="2" t="s">
        <v>49</v>
      </c>
    </row>
    <row r="16" spans="2:13" x14ac:dyDescent="0.3">
      <c r="I16" s="3">
        <f>G16</f>
        <v>0</v>
      </c>
      <c r="J16" s="3">
        <f>H16</f>
        <v>0</v>
      </c>
      <c r="K16" s="4"/>
      <c r="L16" s="3"/>
      <c r="M16" s="4"/>
    </row>
    <row r="17" spans="9:13" x14ac:dyDescent="0.3">
      <c r="I17" s="3">
        <f t="shared" ref="I17:J25" si="2">G17</f>
        <v>0</v>
      </c>
      <c r="J17" s="3">
        <f t="shared" si="2"/>
        <v>0</v>
      </c>
      <c r="K17" s="4"/>
      <c r="L17" s="3"/>
      <c r="M17" s="4"/>
    </row>
    <row r="18" spans="9:13" x14ac:dyDescent="0.3">
      <c r="I18" s="3">
        <f t="shared" si="2"/>
        <v>0</v>
      </c>
      <c r="J18" s="3">
        <f t="shared" si="2"/>
        <v>0</v>
      </c>
      <c r="K18" s="4"/>
      <c r="L18" s="3"/>
      <c r="M18" s="4"/>
    </row>
    <row r="19" spans="9:13" x14ac:dyDescent="0.3">
      <c r="I19" s="3">
        <f t="shared" si="2"/>
        <v>0</v>
      </c>
      <c r="J19" s="3">
        <f t="shared" si="2"/>
        <v>0</v>
      </c>
      <c r="K19" s="4"/>
      <c r="L19" s="3"/>
      <c r="M19" s="4"/>
    </row>
    <row r="20" spans="9:13" x14ac:dyDescent="0.3">
      <c r="I20" s="3">
        <f t="shared" si="2"/>
        <v>0</v>
      </c>
      <c r="J20" s="3">
        <f t="shared" si="2"/>
        <v>0</v>
      </c>
      <c r="K20" s="4"/>
      <c r="L20" s="3"/>
      <c r="M20" s="4"/>
    </row>
    <row r="21" spans="9:13" x14ac:dyDescent="0.3">
      <c r="I21" s="3">
        <f t="shared" si="2"/>
        <v>0</v>
      </c>
      <c r="J21" s="3">
        <f t="shared" si="2"/>
        <v>0</v>
      </c>
      <c r="K21" s="4"/>
      <c r="L21" s="3"/>
      <c r="M21" s="4"/>
    </row>
    <row r="22" spans="9:13" x14ac:dyDescent="0.3">
      <c r="I22" s="3">
        <f t="shared" si="2"/>
        <v>0</v>
      </c>
      <c r="J22" s="3">
        <f t="shared" si="2"/>
        <v>0</v>
      </c>
      <c r="K22" s="4"/>
      <c r="L22" s="3"/>
      <c r="M22" s="4"/>
    </row>
    <row r="23" spans="9:13" x14ac:dyDescent="0.3">
      <c r="I23" s="3">
        <f t="shared" si="2"/>
        <v>0</v>
      </c>
      <c r="J23" s="3">
        <f t="shared" si="2"/>
        <v>0</v>
      </c>
      <c r="K23" s="4"/>
      <c r="L23" s="3"/>
      <c r="M23" s="4"/>
    </row>
    <row r="24" spans="9:13" x14ac:dyDescent="0.3">
      <c r="I24" s="3">
        <f t="shared" si="2"/>
        <v>0</v>
      </c>
      <c r="J24" s="3">
        <f t="shared" si="2"/>
        <v>0</v>
      </c>
      <c r="K24" s="4"/>
      <c r="L24" s="3"/>
      <c r="M24" s="4"/>
    </row>
    <row r="25" spans="9:13" x14ac:dyDescent="0.3">
      <c r="I25" s="3">
        <f t="shared" si="2"/>
        <v>0</v>
      </c>
      <c r="J25" s="3">
        <f t="shared" si="2"/>
        <v>0</v>
      </c>
      <c r="K25" s="4"/>
      <c r="L25" s="3"/>
      <c r="M25" s="4"/>
    </row>
    <row r="26" spans="9:13" x14ac:dyDescent="0.3">
      <c r="I26" s="3">
        <f>G26</f>
        <v>0</v>
      </c>
      <c r="J26" s="3">
        <f>H26</f>
        <v>0</v>
      </c>
      <c r="K26" s="4"/>
      <c r="L26" s="3"/>
      <c r="M26" s="4"/>
    </row>
    <row r="27" spans="9:13" x14ac:dyDescent="0.3">
      <c r="I27" s="4"/>
      <c r="J27" s="4"/>
      <c r="K27" s="4"/>
      <c r="L27" s="3"/>
      <c r="M27" s="4"/>
    </row>
  </sheetData>
  <conditionalFormatting sqref="L16:L27"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{BAD87C05-7125-4008-9A4C-4E0078C15F70}</x14:id>
        </ext>
      </extLst>
    </cfRule>
  </conditionalFormatting>
  <conditionalFormatting sqref="J4:J14">
    <cfRule type="dataBar" priority="4">
      <dataBar>
        <cfvo type="min"/>
        <cfvo type="num" val="35"/>
        <color rgb="FF008AEF"/>
      </dataBar>
      <extLst>
        <ext xmlns:x14="http://schemas.microsoft.com/office/spreadsheetml/2009/9/main" uri="{B025F937-C7B1-47D3-B67F-A62EFF666E3E}">
          <x14:id>{0843F1FE-814A-43EC-80B2-6FEA9FF4942A}</x14:id>
        </ext>
      </extLst>
    </cfRule>
  </conditionalFormatting>
  <conditionalFormatting sqref="I4:I14">
    <cfRule type="dataBar" priority="3">
      <dataBar>
        <cfvo type="min"/>
        <cfvo type="num" val="10000"/>
        <color rgb="FFFF5353"/>
      </dataBar>
      <extLst>
        <ext xmlns:x14="http://schemas.microsoft.com/office/spreadsheetml/2009/9/main" uri="{B025F937-C7B1-47D3-B67F-A62EFF666E3E}">
          <x14:id>{EDC5055C-C149-4DB4-943A-A650D8ED58D0}</x14:id>
        </ext>
      </extLst>
    </cfRule>
  </conditionalFormatting>
  <conditionalFormatting sqref="I16:I26">
    <cfRule type="dataBar" priority="2">
      <dataBar>
        <cfvo type="min"/>
        <cfvo type="num" val="10000"/>
        <color rgb="FFFF5353"/>
      </dataBar>
      <extLst>
        <ext xmlns:x14="http://schemas.microsoft.com/office/spreadsheetml/2009/9/main" uri="{B025F937-C7B1-47D3-B67F-A62EFF666E3E}">
          <x14:id>{79A2A394-C3A0-47E2-A1CF-CC420B1053BB}</x14:id>
        </ext>
      </extLst>
    </cfRule>
  </conditionalFormatting>
  <conditionalFormatting sqref="J16:J26">
    <cfRule type="dataBar" priority="1">
      <dataBar>
        <cfvo type="min"/>
        <cfvo type="num" val="30"/>
        <color rgb="FF008AEF"/>
      </dataBar>
      <extLst>
        <ext xmlns:x14="http://schemas.microsoft.com/office/spreadsheetml/2009/9/main" uri="{B025F937-C7B1-47D3-B67F-A62EFF666E3E}">
          <x14:id>{C7573564-43D2-407B-A108-B0E05BD86736}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AD87C05-7125-4008-9A4C-4E0078C15F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L16:L27</xm:sqref>
        </x14:conditionalFormatting>
        <x14:conditionalFormatting xmlns:xm="http://schemas.microsoft.com/office/excel/2006/main">
          <x14:cfRule type="dataBar" id="{0843F1FE-814A-43EC-80B2-6FEA9FF4942A}">
            <x14:dataBar minLength="0" maxLength="100" gradient="0">
              <x14:cfvo type="autoMin"/>
              <x14:cfvo type="num">
                <xm:f>35</xm:f>
              </x14:cfvo>
              <x14:negativeFillColor rgb="FFFF0000"/>
              <x14:axisColor rgb="FF000000"/>
            </x14:dataBar>
          </x14:cfRule>
          <xm:sqref>J4:J14</xm:sqref>
        </x14:conditionalFormatting>
        <x14:conditionalFormatting xmlns:xm="http://schemas.microsoft.com/office/excel/2006/main">
          <x14:cfRule type="dataBar" id="{EDC5055C-C149-4DB4-943A-A650D8ED58D0}">
            <x14:dataBar minLength="0" maxLength="100" gradient="0">
              <x14:cfvo type="autoMin"/>
              <x14:cfvo type="num">
                <xm:f>10000</xm:f>
              </x14:cfvo>
              <x14:negativeFillColor rgb="FFFF0000"/>
              <x14:axisColor rgb="FF000000"/>
            </x14:dataBar>
          </x14:cfRule>
          <xm:sqref>I4:I14</xm:sqref>
        </x14:conditionalFormatting>
        <x14:conditionalFormatting xmlns:xm="http://schemas.microsoft.com/office/excel/2006/main">
          <x14:cfRule type="dataBar" id="{79A2A394-C3A0-47E2-A1CF-CC420B1053BB}">
            <x14:dataBar minLength="0" maxLength="100" gradient="0">
              <x14:cfvo type="autoMin"/>
              <x14:cfvo type="num">
                <xm:f>10000</xm:f>
              </x14:cfvo>
              <x14:negativeFillColor rgb="FFFF0000"/>
              <x14:axisColor rgb="FF000000"/>
            </x14:dataBar>
          </x14:cfRule>
          <xm:sqref>I16:I26</xm:sqref>
        </x14:conditionalFormatting>
        <x14:conditionalFormatting xmlns:xm="http://schemas.microsoft.com/office/excel/2006/main">
          <x14:cfRule type="dataBar" id="{C7573564-43D2-407B-A108-B0E05BD86736}">
            <x14:dataBar minLength="0" maxLength="100" gradient="0">
              <x14:cfvo type="autoMin"/>
              <x14:cfvo type="num">
                <xm:f>30</xm:f>
              </x14:cfvo>
              <x14:negativeFillColor rgb="FFFF0000"/>
              <x14:axisColor rgb="FF000000"/>
            </x14:dataBar>
          </x14:cfRule>
          <xm:sqref>J16:J26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A34</vt:lpstr>
      <vt:lpstr>A35</vt:lpstr>
      <vt:lpstr>A36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Lijie Sun</dc:creator>
  <cp:lastModifiedBy>Sun, Lijie</cp:lastModifiedBy>
  <dcterms:created xsi:type="dcterms:W3CDTF">2025-03-24T23:54:15Z</dcterms:created>
  <dcterms:modified xsi:type="dcterms:W3CDTF">2026-04-16T23:32:32Z</dcterms:modified>
</cp:coreProperties>
</file>