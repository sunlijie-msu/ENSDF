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X\ND\Files\Wrede\"/>
    </mc:Choice>
  </mc:AlternateContent>
  <xr:revisionPtr revIDLastSave="0" documentId="13_ncr:1_{69DE40B2-C59B-4352-9483-F81EDE321230}" xr6:coauthVersionLast="47" xr6:coauthVersionMax="47" xr10:uidLastSave="{00000000-0000-0000-0000-000000000000}"/>
  <bookViews>
    <workbookView xWindow="-108" yWindow="-108" windowWidth="23256" windowHeight="12720" activeTab="1" xr2:uid="{3FD072AA-1A2A-4315-BC84-BA0861485ED0}"/>
  </bookViews>
  <sheets>
    <sheet name="Header"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2" l="1"/>
  <c r="T24" i="2"/>
  <c r="U24" i="2"/>
  <c r="X24" i="2" s="1"/>
  <c r="V24" i="2"/>
  <c r="AA24" i="2" s="1"/>
  <c r="V3" i="2"/>
  <c r="V4" i="2"/>
  <c r="Y4" i="2" s="1"/>
  <c r="V5" i="2"/>
  <c r="V6" i="2"/>
  <c r="V7" i="2"/>
  <c r="Y7" i="2" s="1"/>
  <c r="V8" i="2"/>
  <c r="Y8" i="2" s="1"/>
  <c r="V9" i="2"/>
  <c r="Y9" i="2" s="1"/>
  <c r="V10" i="2"/>
  <c r="V11" i="2"/>
  <c r="V12" i="2"/>
  <c r="V13" i="2"/>
  <c r="Y13" i="2" s="1"/>
  <c r="V14" i="2"/>
  <c r="V15" i="2"/>
  <c r="Y15" i="2" s="1"/>
  <c r="V16" i="2"/>
  <c r="V17" i="2"/>
  <c r="Y17" i="2" s="1"/>
  <c r="V18" i="2"/>
  <c r="Y18" i="2" s="1"/>
  <c r="V19" i="2"/>
  <c r="V20" i="2"/>
  <c r="Y20" i="2" s="1"/>
  <c r="V21" i="2"/>
  <c r="Y21" i="2" s="1"/>
  <c r="V22" i="2"/>
  <c r="Y22" i="2" s="1"/>
  <c r="V23" i="2"/>
  <c r="U3" i="2"/>
  <c r="X3" i="2" s="1"/>
  <c r="U4" i="2"/>
  <c r="X4" i="2" s="1"/>
  <c r="U5" i="2"/>
  <c r="X5" i="2" s="1"/>
  <c r="U6" i="2"/>
  <c r="X6" i="2" s="1"/>
  <c r="U7" i="2"/>
  <c r="X7" i="2" s="1"/>
  <c r="U8" i="2"/>
  <c r="X8" i="2" s="1"/>
  <c r="U9" i="2"/>
  <c r="X9" i="2" s="1"/>
  <c r="U10" i="2"/>
  <c r="X10" i="2" s="1"/>
  <c r="U11" i="2"/>
  <c r="X11" i="2" s="1"/>
  <c r="U12" i="2"/>
  <c r="X12" i="2" s="1"/>
  <c r="U13" i="2"/>
  <c r="X13" i="2" s="1"/>
  <c r="U14" i="2"/>
  <c r="X14" i="2" s="1"/>
  <c r="U15" i="2"/>
  <c r="X15" i="2" s="1"/>
  <c r="U16" i="2"/>
  <c r="X16" i="2" s="1"/>
  <c r="U17" i="2"/>
  <c r="X17" i="2" s="1"/>
  <c r="U18" i="2"/>
  <c r="X18" i="2" s="1"/>
  <c r="U19" i="2"/>
  <c r="X19" i="2" s="1"/>
  <c r="U20" i="2"/>
  <c r="X20" i="2" s="1"/>
  <c r="U21" i="2"/>
  <c r="X21" i="2" s="1"/>
  <c r="U22" i="2"/>
  <c r="X22" i="2" s="1"/>
  <c r="U23" i="2"/>
  <c r="X23" i="2" s="1"/>
  <c r="T2" i="2"/>
  <c r="Y6" i="2" l="1"/>
  <c r="Y12" i="2"/>
  <c r="Z24" i="2"/>
  <c r="Y11" i="2"/>
  <c r="Y24" i="2"/>
  <c r="Y14" i="2"/>
  <c r="Z2" i="2"/>
  <c r="W2" i="2"/>
  <c r="Y19" i="2"/>
  <c r="Y3" i="2"/>
  <c r="Y5" i="2"/>
  <c r="W24" i="2"/>
  <c r="Y10" i="2"/>
  <c r="Y23" i="2"/>
  <c r="Y16" i="2"/>
  <c r="V2" i="2"/>
  <c r="AD29" i="2"/>
  <c r="AC29" i="2"/>
  <c r="AD13" i="2" l="1"/>
  <c r="AC10" i="2"/>
  <c r="AD15" i="2"/>
  <c r="AC14" i="2"/>
  <c r="AD18" i="2"/>
  <c r="AC16" i="2"/>
  <c r="AC17" i="2"/>
  <c r="AC19" i="2"/>
  <c r="AD8" i="2"/>
  <c r="AB2" i="2"/>
  <c r="AC9" i="2"/>
  <c r="AD14" i="2"/>
  <c r="AC11" i="2"/>
  <c r="AC12" i="2"/>
  <c r="AD16" i="2"/>
  <c r="AC13" i="2"/>
  <c r="AD17" i="2"/>
  <c r="AC15" i="2"/>
  <c r="AD19" i="2"/>
  <c r="AC18" i="2"/>
  <c r="AD22" i="2"/>
  <c r="AB24" i="2"/>
  <c r="AC7" i="2"/>
  <c r="AD11" i="2"/>
  <c r="AD20" i="2"/>
  <c r="AD21" i="2"/>
  <c r="AC5" i="2"/>
  <c r="AC6" i="2"/>
  <c r="AD10" i="2"/>
  <c r="AD12" i="2"/>
  <c r="AC8" i="2"/>
  <c r="AD3" i="2"/>
  <c r="AD23" i="2"/>
  <c r="AC20" i="2"/>
  <c r="AD4" i="2"/>
  <c r="AD24" i="2"/>
  <c r="AC21" i="2"/>
  <c r="AD5" i="2"/>
  <c r="AD2" i="2"/>
  <c r="AC22" i="2"/>
  <c r="AD6" i="2"/>
  <c r="AC3" i="2"/>
  <c r="AC23" i="2"/>
  <c r="AD7" i="2"/>
  <c r="AC4" i="2"/>
  <c r="AC24" i="2"/>
  <c r="AD9" i="2"/>
  <c r="T3" i="2"/>
  <c r="T4" i="2"/>
  <c r="T5" i="2"/>
  <c r="T6" i="2"/>
  <c r="T7" i="2"/>
  <c r="T8" i="2"/>
  <c r="T9" i="2"/>
  <c r="T10" i="2"/>
  <c r="T11" i="2"/>
  <c r="T12" i="2"/>
  <c r="T13" i="2"/>
  <c r="T14" i="2"/>
  <c r="T15" i="2"/>
  <c r="T16" i="2"/>
  <c r="T17" i="2"/>
  <c r="T18" i="2"/>
  <c r="T19" i="2"/>
  <c r="T20" i="2"/>
  <c r="T21" i="2"/>
  <c r="T22" i="2"/>
  <c r="T23" i="2"/>
  <c r="X2" i="2"/>
  <c r="AC2" i="2" s="1"/>
  <c r="Y2" i="2"/>
  <c r="K2" i="2"/>
  <c r="I3" i="2"/>
  <c r="L3" i="2" s="1"/>
  <c r="J3" i="2"/>
  <c r="M3" i="2" s="1"/>
  <c r="I4" i="2"/>
  <c r="L4" i="2" s="1"/>
  <c r="J4" i="2"/>
  <c r="M4" i="2" s="1"/>
  <c r="I5" i="2"/>
  <c r="L5" i="2" s="1"/>
  <c r="J5" i="2"/>
  <c r="M5" i="2" s="1"/>
  <c r="I6" i="2"/>
  <c r="L6" i="2" s="1"/>
  <c r="J6" i="2"/>
  <c r="M6" i="2" s="1"/>
  <c r="I8" i="2"/>
  <c r="L8" i="2" s="1"/>
  <c r="J8" i="2"/>
  <c r="M8" i="2" s="1"/>
  <c r="I9" i="2"/>
  <c r="L9" i="2" s="1"/>
  <c r="J9" i="2"/>
  <c r="M9" i="2" s="1"/>
  <c r="I10" i="2"/>
  <c r="L10" i="2" s="1"/>
  <c r="J10" i="2"/>
  <c r="M10" i="2" s="1"/>
  <c r="I11" i="2"/>
  <c r="L11" i="2" s="1"/>
  <c r="J11" i="2"/>
  <c r="M11" i="2" s="1"/>
  <c r="I12" i="2"/>
  <c r="L12" i="2" s="1"/>
  <c r="J12" i="2"/>
  <c r="M12" i="2" s="1"/>
  <c r="I13" i="2"/>
  <c r="L13" i="2" s="1"/>
  <c r="J13" i="2"/>
  <c r="M13" i="2" s="1"/>
  <c r="I14" i="2"/>
  <c r="L14" i="2" s="1"/>
  <c r="J14" i="2"/>
  <c r="M14" i="2" s="1"/>
  <c r="I18" i="2"/>
  <c r="L18" i="2" s="1"/>
  <c r="J18" i="2"/>
  <c r="M18" i="2" s="1"/>
  <c r="I20" i="2"/>
  <c r="L20" i="2" s="1"/>
  <c r="J20" i="2"/>
  <c r="M20" i="2" s="1"/>
  <c r="I21" i="2"/>
  <c r="L21" i="2" s="1"/>
  <c r="J21" i="2"/>
  <c r="M21" i="2" s="1"/>
  <c r="I22" i="2"/>
  <c r="L22" i="2" s="1"/>
  <c r="J22" i="2"/>
  <c r="M22" i="2" s="1"/>
  <c r="I23" i="2"/>
  <c r="L23" i="2" s="1"/>
  <c r="J23" i="2"/>
  <c r="M23" i="2" s="1"/>
  <c r="I24" i="2"/>
  <c r="L24" i="2" s="1"/>
  <c r="J24" i="2"/>
  <c r="M24" i="2" s="1"/>
  <c r="I25" i="2"/>
  <c r="L25" i="2" s="1"/>
  <c r="J25" i="2"/>
  <c r="M25" i="2" s="1"/>
  <c r="I27" i="2"/>
  <c r="L27" i="2" s="1"/>
  <c r="J27" i="2"/>
  <c r="M27" i="2" s="1"/>
  <c r="I29" i="2"/>
  <c r="L29" i="2" s="1"/>
  <c r="J29" i="2"/>
  <c r="M29" i="2" s="1"/>
  <c r="I30" i="2"/>
  <c r="L30" i="2" s="1"/>
  <c r="J30" i="2"/>
  <c r="M30" i="2" s="1"/>
  <c r="J2" i="2"/>
  <c r="M2" i="2" s="1"/>
  <c r="I2" i="2"/>
  <c r="L2" i="2" s="1"/>
  <c r="K3" i="2"/>
  <c r="K4" i="2"/>
  <c r="K5" i="2"/>
  <c r="K6" i="2"/>
  <c r="K8" i="2"/>
  <c r="K9" i="2"/>
  <c r="K10" i="2"/>
  <c r="K11" i="2"/>
  <c r="K12" i="2"/>
  <c r="K13" i="2"/>
  <c r="K14" i="2"/>
  <c r="K18" i="2"/>
  <c r="K20" i="2"/>
  <c r="K21" i="2"/>
  <c r="K22" i="2"/>
  <c r="K23" i="2"/>
  <c r="K24" i="2"/>
  <c r="K25" i="2"/>
  <c r="K27" i="2"/>
  <c r="K29" i="2"/>
  <c r="K30" i="2"/>
  <c r="AF24" i="2" l="1"/>
  <c r="Z6" i="2"/>
  <c r="W6" i="2"/>
  <c r="AB6" i="2" s="1"/>
  <c r="AA6" i="2"/>
  <c r="Z5" i="2"/>
  <c r="W5" i="2"/>
  <c r="AB5" i="2" s="1"/>
  <c r="AA5" i="2"/>
  <c r="Z23" i="2"/>
  <c r="W23" i="2"/>
  <c r="AB23" i="2" s="1"/>
  <c r="AF23" i="2" s="1"/>
  <c r="AA23" i="2"/>
  <c r="Z21" i="2"/>
  <c r="W21" i="2"/>
  <c r="AB21" i="2" s="1"/>
  <c r="AE21" i="2" s="1"/>
  <c r="AA21" i="2"/>
  <c r="Z13" i="2"/>
  <c r="W13" i="2"/>
  <c r="AB13" i="2" s="1"/>
  <c r="AF13" i="2" s="1"/>
  <c r="AA13" i="2"/>
  <c r="AE23" i="2"/>
  <c r="Z10" i="2"/>
  <c r="W10" i="2"/>
  <c r="AB10" i="2" s="1"/>
  <c r="AF10" i="2" s="1"/>
  <c r="AA10" i="2"/>
  <c r="Z8" i="2"/>
  <c r="W8" i="2"/>
  <c r="AB8" i="2" s="1"/>
  <c r="AF8" i="2" s="1"/>
  <c r="AA8" i="2"/>
  <c r="Z20" i="2"/>
  <c r="W20" i="2"/>
  <c r="AB20" i="2" s="1"/>
  <c r="AF20" i="2" s="1"/>
  <c r="AA20" i="2"/>
  <c r="AE6" i="2"/>
  <c r="AE9" i="2"/>
  <c r="Z4" i="2"/>
  <c r="W4" i="2"/>
  <c r="AB4" i="2" s="1"/>
  <c r="AF4" i="2" s="1"/>
  <c r="AA4" i="2"/>
  <c r="Z19" i="2"/>
  <c r="W19" i="2"/>
  <c r="AB19" i="2" s="1"/>
  <c r="AF19" i="2" s="1"/>
  <c r="AA19" i="2"/>
  <c r="AE5" i="2"/>
  <c r="Z12" i="2"/>
  <c r="W12" i="2"/>
  <c r="AB12" i="2" s="1"/>
  <c r="AF12" i="2" s="1"/>
  <c r="AA12" i="2"/>
  <c r="AE3" i="2"/>
  <c r="Z9" i="2"/>
  <c r="W9" i="2"/>
  <c r="AB9" i="2" s="1"/>
  <c r="AF9" i="2" s="1"/>
  <c r="AA9" i="2"/>
  <c r="Z7" i="2"/>
  <c r="W7" i="2"/>
  <c r="AB7" i="2" s="1"/>
  <c r="AA7" i="2"/>
  <c r="Z3" i="2"/>
  <c r="W3" i="2"/>
  <c r="AB3" i="2" s="1"/>
  <c r="AF3" i="2" s="1"/>
  <c r="AA3" i="2"/>
  <c r="Z22" i="2"/>
  <c r="W22" i="2"/>
  <c r="AB22" i="2" s="1"/>
  <c r="AE22" i="2" s="1"/>
  <c r="AA22" i="2"/>
  <c r="Z18" i="2"/>
  <c r="W18" i="2"/>
  <c r="AB18" i="2" s="1"/>
  <c r="AF18" i="2" s="1"/>
  <c r="AA18" i="2"/>
  <c r="Z17" i="2"/>
  <c r="W17" i="2"/>
  <c r="AB17" i="2" s="1"/>
  <c r="AF17" i="2" s="1"/>
  <c r="AA17" i="2"/>
  <c r="Z16" i="2"/>
  <c r="W16" i="2"/>
  <c r="AB16" i="2" s="1"/>
  <c r="AF16" i="2" s="1"/>
  <c r="AA16" i="2"/>
  <c r="Z14" i="2"/>
  <c r="W14" i="2"/>
  <c r="AB14" i="2" s="1"/>
  <c r="AE14" i="2" s="1"/>
  <c r="AA14" i="2"/>
  <c r="Z11" i="2"/>
  <c r="W11" i="2"/>
  <c r="AB11" i="2" s="1"/>
  <c r="AE11" i="2" s="1"/>
  <c r="AA11" i="2"/>
  <c r="AE7" i="2"/>
  <c r="Z15" i="2"/>
  <c r="W15" i="2"/>
  <c r="AB15" i="2" s="1"/>
  <c r="AF15" i="2" s="1"/>
  <c r="AA15" i="2"/>
  <c r="AE2" i="2"/>
  <c r="AE20" i="2"/>
  <c r="AF21" i="2"/>
  <c r="AF7" i="2"/>
  <c r="AE24" i="2"/>
  <c r="AF6" i="2"/>
  <c r="AF5" i="2"/>
  <c r="AF14" i="2"/>
  <c r="AE8" i="2"/>
  <c r="AL9" i="2"/>
  <c r="AJ8" i="2"/>
  <c r="AM8" i="2" s="1"/>
  <c r="AA2" i="2"/>
  <c r="AL7" i="2"/>
  <c r="AJ7" i="2"/>
  <c r="AM7" i="2" s="1"/>
  <c r="AJ6" i="2"/>
  <c r="AM6" i="2" s="1"/>
  <c r="AJ9" i="2"/>
  <c r="AM9" i="2" s="1"/>
  <c r="AK7" i="2"/>
  <c r="AN7" i="2" s="1"/>
  <c r="AJ22" i="2" l="1"/>
  <c r="AM22" i="2" s="1"/>
  <c r="AL22" i="2"/>
  <c r="AE18" i="2"/>
  <c r="AJ20" i="2"/>
  <c r="AM20" i="2" s="1"/>
  <c r="AE4" i="2"/>
  <c r="AL16" i="2"/>
  <c r="AE16" i="2"/>
  <c r="AL4" i="2"/>
  <c r="AJ16" i="2"/>
  <c r="AM16" i="2" s="1"/>
  <c r="AK21" i="2"/>
  <c r="AN21" i="2" s="1"/>
  <c r="AK16" i="2"/>
  <c r="AN16" i="2" s="1"/>
  <c r="AF11" i="2"/>
  <c r="AF22" i="2"/>
  <c r="AL15" i="2"/>
  <c r="AE10" i="2"/>
  <c r="AJ4" i="2"/>
  <c r="AM4" i="2" s="1"/>
  <c r="AE13" i="2"/>
  <c r="AK15" i="2"/>
  <c r="AN15" i="2" s="1"/>
  <c r="AE17" i="2"/>
  <c r="AL12" i="2"/>
  <c r="AL17" i="2"/>
  <c r="AJ12" i="2"/>
  <c r="AM12" i="2" s="1"/>
  <c r="AE12" i="2"/>
  <c r="AK12" i="2"/>
  <c r="AN12" i="2" s="1"/>
  <c r="AJ15" i="2"/>
  <c r="AM15" i="2" s="1"/>
  <c r="AE15" i="2"/>
  <c r="AL5" i="2"/>
  <c r="AJ23" i="2"/>
  <c r="AM23" i="2" s="1"/>
  <c r="AJ10" i="2"/>
  <c r="AM10" i="2" s="1"/>
  <c r="AJ5" i="2"/>
  <c r="AM5" i="2" s="1"/>
  <c r="AL14" i="2"/>
  <c r="AL11" i="2"/>
  <c r="AJ14" i="2"/>
  <c r="AM14" i="2" s="1"/>
  <c r="AK19" i="2"/>
  <c r="AN19" i="2" s="1"/>
  <c r="AE19" i="2"/>
  <c r="AK20" i="2"/>
  <c r="AN20" i="2" s="1"/>
  <c r="AK8" i="2"/>
  <c r="AN8" i="2" s="1"/>
  <c r="AL13" i="2"/>
  <c r="AJ13" i="2"/>
  <c r="AM13" i="2" s="1"/>
  <c r="AL8" i="2"/>
  <c r="AO8" i="2" s="1"/>
  <c r="AL10" i="2"/>
  <c r="AK18" i="2"/>
  <c r="AN18" i="2" s="1"/>
  <c r="AK6" i="2"/>
  <c r="AN6" i="2" s="1"/>
  <c r="AL3" i="2"/>
  <c r="AL21" i="2"/>
  <c r="AK3" i="2"/>
  <c r="AN3" i="2" s="1"/>
  <c r="AK17" i="2"/>
  <c r="AN17" i="2" s="1"/>
  <c r="AL19" i="2"/>
  <c r="AJ3" i="2"/>
  <c r="AM3" i="2" s="1"/>
  <c r="AJ19" i="2"/>
  <c r="AM19" i="2" s="1"/>
  <c r="AL20" i="2"/>
  <c r="AL6" i="2"/>
  <c r="AJ17" i="2"/>
  <c r="AM17" i="2" s="1"/>
  <c r="AK14" i="2"/>
  <c r="AN14" i="2" s="1"/>
  <c r="AK23" i="2"/>
  <c r="AN23" i="2" s="1"/>
  <c r="AL23" i="2"/>
  <c r="AK22" i="2"/>
  <c r="AN22" i="2" s="1"/>
  <c r="AO22" i="2" s="1"/>
  <c r="AJ21" i="2"/>
  <c r="AM21" i="2" s="1"/>
  <c r="AK5" i="2"/>
  <c r="AN5" i="2" s="1"/>
  <c r="AK10" i="2"/>
  <c r="AN10" i="2" s="1"/>
  <c r="AK2" i="2"/>
  <c r="AN2" i="2" s="1"/>
  <c r="AL2" i="2"/>
  <c r="AK4" i="2"/>
  <c r="AN4" i="2" s="1"/>
  <c r="AJ2" i="2"/>
  <c r="AM2" i="2" s="1"/>
  <c r="AK11" i="2"/>
  <c r="AN11" i="2" s="1"/>
  <c r="AJ11" i="2"/>
  <c r="AM11" i="2" s="1"/>
  <c r="AJ18" i="2"/>
  <c r="AM18" i="2" s="1"/>
  <c r="AK9" i="2"/>
  <c r="AN9" i="2" s="1"/>
  <c r="AO9" i="2" s="1"/>
  <c r="AL18" i="2"/>
  <c r="AK13" i="2"/>
  <c r="AN13" i="2" s="1"/>
  <c r="AO16" i="2"/>
  <c r="AO7" i="2"/>
  <c r="AF2" i="2"/>
  <c r="AO4" i="2" l="1"/>
  <c r="AO15" i="2"/>
  <c r="AO12" i="2"/>
  <c r="AO20" i="2"/>
  <c r="AO5" i="2"/>
  <c r="AO14" i="2"/>
  <c r="AO3" i="2"/>
  <c r="AO11" i="2"/>
  <c r="AO10" i="2"/>
  <c r="AO6" i="2"/>
  <c r="AO17" i="2"/>
  <c r="AO18" i="2"/>
  <c r="AO23" i="2"/>
  <c r="AO13" i="2"/>
  <c r="AO19" i="2"/>
  <c r="AO2" i="2"/>
  <c r="AO21" i="2"/>
</calcChain>
</file>

<file path=xl/sharedStrings.xml><?xml version="1.0" encoding="utf-8"?>
<sst xmlns="http://schemas.openxmlformats.org/spreadsheetml/2006/main" count="303" uniqueCount="190">
  <si>
    <t>DSID</t>
  </si>
  <si>
    <t>NUCLIDE</t>
  </si>
  <si>
    <t>KEYNUMBER</t>
  </si>
  <si>
    <t>REFERENCE</t>
  </si>
  <si>
    <t>COMPILER</t>
  </si>
  <si>
    <t>COMMENT</t>
  </si>
  <si>
    <t>PID</t>
  </si>
  <si>
    <t>EPA</t>
  </si>
  <si>
    <t>0</t>
  </si>
  <si>
    <t>JPA</t>
  </si>
  <si>
    <t>TP</t>
  </si>
  <si>
    <t>TPU</t>
  </si>
  <si>
    <t>MS</t>
  </si>
  <si>
    <t>QP</t>
  </si>
  <si>
    <t>CP</t>
  </si>
  <si>
    <t>NR</t>
  </si>
  <si>
    <t>1.0</t>
  </si>
  <si>
    <t>BR</t>
  </si>
  <si>
    <t>NB</t>
  </si>
  <si>
    <t>Phys Rev C xxx, xx43xx (2025).</t>
  </si>
  <si>
    <t>EL</t>
  </si>
  <si>
    <t>JPI</t>
  </si>
  <si>
    <t>1+</t>
  </si>
  <si>
    <t>CL</t>
  </si>
  <si>
    <t>31Cl</t>
  </si>
  <si>
    <t>3/2+</t>
  </si>
  <si>
    <t>190(1)</t>
  </si>
  <si>
    <t>6388(4)</t>
  </si>
  <si>
    <t>6936(2)</t>
  </si>
  <si>
    <t>7037(2)</t>
  </si>
  <si>
    <t>7157.5(11)</t>
  </si>
  <si>
    <t>7703(3)</t>
  </si>
  <si>
    <t>7797(12)</t>
  </si>
  <si>
    <t>7887(3)</t>
  </si>
  <si>
    <t>7905(8)</t>
  </si>
  <si>
    <t>8017(3)</t>
  </si>
  <si>
    <t>8024(2)</t>
  </si>
  <si>
    <t>8275(4)</t>
  </si>
  <si>
    <t>8418(3)</t>
  </si>
  <si>
    <t>8557(2)</t>
  </si>
  <si>
    <t>8669(8)</t>
  </si>
  <si>
    <t>8709(7)</t>
  </si>
  <si>
    <t>8813(2)</t>
  </si>
  <si>
    <t>8950(5)</t>
  </si>
  <si>
    <t>8964(2)</t>
  </si>
  <si>
    <t>9238(2)</t>
  </si>
  <si>
    <t>9404(6)</t>
  </si>
  <si>
    <t>9421(8)</t>
  </si>
  <si>
    <t>677.11(10)</t>
  </si>
  <si>
    <t>708.70(7)</t>
  </si>
  <si>
    <t xml:space="preserve"> 1454.28(5)</t>
  </si>
  <si>
    <t>1973.34(8)</t>
  </si>
  <si>
    <t>0+</t>
  </si>
  <si>
    <t>2+</t>
  </si>
  <si>
    <t>3+</t>
  </si>
  <si>
    <t>31S</t>
  </si>
  <si>
    <t>31Cl EC DECAY:XUNDL-22</t>
  </si>
  <si>
    <t>12008(3)</t>
  </si>
  <si>
    <t>TIE</t>
  </si>
  <si>
    <t>1/2+,3/2+,5/2+</t>
  </si>
  <si>
    <t>(5/2)+</t>
  </si>
  <si>
    <t>3/2+,5/2+</t>
  </si>
  <si>
    <t>(1/2+,3/2+,5/2+)</t>
  </si>
  <si>
    <t>1/2+</t>
  </si>
  <si>
    <t>3.38(18)</t>
  </si>
  <si>
    <t>1.31(2)</t>
  </si>
  <si>
    <t>&lt;0.0005</t>
  </si>
  <si>
    <t>0.0034(7)</t>
  </si>
  <si>
    <t>&lt;0.008</t>
  </si>
  <si>
    <t>0.0028(8)</t>
  </si>
  <si>
    <t>0.019(4)</t>
  </si>
  <si>
    <t>ELF</t>
  </si>
  <si>
    <t>JF</t>
  </si>
  <si>
    <t>J$From {+31}S Adopted Levels in ENSDF database.</t>
  </si>
  <si>
    <t>CN</t>
  </si>
  <si>
    <t>CE</t>
  </si>
  <si>
    <t>9328(5)</t>
  </si>
  <si>
    <t>L. J. Sun (FRIB, MSU), February 5, 2025.</t>
  </si>
  <si>
    <t>2025BuAA</t>
  </si>
  <si>
    <t>2025BuAA: {+31}Cl was produced by the fragmentation of a 150 MeV/nucleon {+36}Ar beam on a 1645 mg/cm{+2} Be primary target, separated and purified by the A1900 fragment separator and the Radio Frequency Fragment Separator (RFFS), and transported into the Proton Detector (PD) of the Gaseous Detector with Germanium Tagging (GADGET) system surrounded by the SeGA array of 16 HPGe detectors. Measured E{-p}, I{-p}, and p|g-coin. Deduced levels, |e+|b{++}-decay branching ratios, log {Ift}, and B(GT), and compared with shell-model calculations.</t>
  </si>
  <si>
    <t>TI$From I{-p} normalized relative to the I{-p}=0.131 {I2} of the 1027-keV (c.m.) proton from 2011SaZM.</t>
  </si>
  <si>
    <t>E$from E{-p}(c.m.)+S(p)({+31}S)+E(level)({+30}P), where S(p)=6130.65 {I24} (2021Wa16). A weighted average is taken when multiple proton decay branches from a level in {+31}S are available.</t>
  </si>
  <si>
    <t>QP$from 2021Wa16.</t>
  </si>
  <si>
    <t>J,T$From the Adopted Levels</t>
  </si>
  <si>
    <t>BR$%|e+|b{++}p=2.08 {I5} for {+31}Cl decay, revised from %|e+|b{++}p=2.4 {I2} (2011SaZM).</t>
  </si>
  <si>
    <t>0.142(28)</t>
  </si>
  <si>
    <t>0.0027(7)</t>
  </si>
  <si>
    <t>0.095(+13-11)</t>
  </si>
  <si>
    <t>0.0154(+27-26)</t>
  </si>
  <si>
    <t>0.087(9)</t>
  </si>
  <si>
    <t>0.038(+8-7)</t>
  </si>
  <si>
    <t>0.010(+8-7)</t>
  </si>
  <si>
    <t>0.0156(+29-28)</t>
  </si>
  <si>
    <t>0.0089(+26-24)</t>
  </si>
  <si>
    <t>0.017(+4-5)</t>
  </si>
  <si>
    <t>0.0032(+10-8)</t>
  </si>
  <si>
    <t>0.008(4)</t>
  </si>
  <si>
    <t>&lt;0.0019</t>
  </si>
  <si>
    <t>0.202(20)</t>
  </si>
  <si>
    <t>0.090(+18-17)</t>
  </si>
  <si>
    <t>I_b [%]</t>
  </si>
  <si>
    <t>dI_b upper</t>
  </si>
  <si>
    <t>I_b lower</t>
  </si>
  <si>
    <t>1.31000000</t>
  </si>
  <si>
    <t>LOGFT</t>
  </si>
  <si>
    <t>4.1144(45)</t>
  </si>
  <si>
    <t>5.0854(+40-41)</t>
  </si>
  <si>
    <t>5.4017(41)</t>
  </si>
  <si>
    <t>4.1624(+39-40)</t>
  </si>
  <si>
    <t>4.8264(48)</t>
  </si>
  <si>
    <t>5.2884(+49-50)</t>
  </si>
  <si>
    <t>6.4263(78)</t>
  </si>
  <si>
    <t>4.8276(+50-51)</t>
  </si>
  <si>
    <t>4.5260(+54-55)</t>
  </si>
  <si>
    <t>5.2080(52)</t>
  </si>
  <si>
    <t>5.0693(+77-78)</t>
  </si>
  <si>
    <t>5.0962(57)</t>
  </si>
  <si>
    <t>I_b upper [%]</t>
  </si>
  <si>
    <t>I_b lower [%]</t>
  </si>
  <si>
    <t>4.0919(45)</t>
  </si>
  <si>
    <t>4.1558(72)</t>
  </si>
  <si>
    <t>4.1381(45)</t>
  </si>
  <si>
    <t>FT</t>
  </si>
  <si>
    <t>FT-</t>
  </si>
  <si>
    <t>FT+</t>
  </si>
  <si>
    <t>+/-</t>
  </si>
  <si>
    <t>K/gV2</t>
    <phoneticPr fontId="0" type="noConversion"/>
  </si>
  <si>
    <t>(gA/gV)</t>
    <phoneticPr fontId="0" type="noConversion"/>
  </si>
  <si>
    <t>(gA/gV)^2</t>
  </si>
  <si>
    <t>B(GT)</t>
  </si>
  <si>
    <t>B(GT)up</t>
  </si>
  <si>
    <t>B(GT)low</t>
  </si>
  <si>
    <t>7.1846(10)</t>
  </si>
  <si>
    <t>6.2006(48)</t>
  </si>
  <si>
    <t>5.7606(59)</t>
  </si>
  <si>
    <t>6.0350(+95-96)</t>
  </si>
  <si>
    <t>5.8195(88)</t>
  </si>
  <si>
    <t>4.8754(55)</t>
  </si>
  <si>
    <t>4.5819(+68-69)</t>
  </si>
  <si>
    <t>4.4380(+88-89)</t>
  </si>
  <si>
    <t>5.0763(+83-84)</t>
  </si>
  <si>
    <t>4.9854(+12-13)</t>
  </si>
  <si>
    <t>5.4614(79)</t>
  </si>
  <si>
    <t>5.1560(+40-41)</t>
  </si>
  <si>
    <t>5.4755(41)</t>
  </si>
  <si>
    <t>4.1691(+39-40)</t>
  </si>
  <si>
    <t>4.9438(48)</t>
  </si>
  <si>
    <t>5.4000(+49-50)</t>
  </si>
  <si>
    <t>6.5842(79)</t>
  </si>
  <si>
    <t>4.9375(+50-51)</t>
  </si>
  <si>
    <t>6.3732(48)</t>
  </si>
  <si>
    <t>5.9718(60)</t>
  </si>
  <si>
    <t>4.6364(+54-55)</t>
  </si>
  <si>
    <t>5.3077(52)</t>
  </si>
  <si>
    <t>6.2146(+96-97)</t>
  </si>
  <si>
    <t>5.9793(89)</t>
  </si>
  <si>
    <t>5.0301(55)</t>
  </si>
  <si>
    <t>5.8661(80)</t>
  </si>
  <si>
    <t>5.2061(+57-58)</t>
  </si>
  <si>
    <t>4.6984(+68-69)</t>
  </si>
  <si>
    <t>4.6859(89)</t>
  </si>
  <si>
    <t>5.2208(84)</t>
  </si>
  <si>
    <t>5.0218(+40-41)</t>
  </si>
  <si>
    <t>5.3359(41)</t>
  </si>
  <si>
    <t>4.7326(48)</t>
  </si>
  <si>
    <t>5.1874(+49-50)</t>
  </si>
  <si>
    <t>6.3072(78)</t>
  </si>
  <si>
    <t>4.7323(+50-51)</t>
  </si>
  <si>
    <t>6.0737(+47-48)</t>
  </si>
  <si>
    <t>5.6157(59)</t>
  </si>
  <si>
    <t>4.4323(+54-55)</t>
  </si>
  <si>
    <t>5.1236(52)</t>
  </si>
  <si>
    <t>5.9013(95)</t>
  </si>
  <si>
    <t>5.6922(88)</t>
  </si>
  <si>
    <t>4.7551(56)</t>
  </si>
  <si>
    <t>4.8008(77)</t>
  </si>
  <si>
    <t>4.9968(57)</t>
  </si>
  <si>
    <t>4.4877(+68-69)</t>
  </si>
  <si>
    <t>4.2836(+88-89)</t>
  </si>
  <si>
    <t>4.9532(83)</t>
  </si>
  <si>
    <t>5.1646(75)</t>
  </si>
  <si>
    <t>7.0870(10)</t>
  </si>
  <si>
    <t>4.8070(12)</t>
  </si>
  <si>
    <t>5.2900(13)</t>
  </si>
  <si>
    <t>7.3060(11)</t>
  </si>
  <si>
    <t>7.0920(+45-42)</t>
  </si>
  <si>
    <t>Jπ purely based on log(ft)</t>
  </si>
  <si>
    <t xml:space="preserve"> 1/2+, 3/2+, 5/2+ </t>
  </si>
  <si>
    <t xml:space="preserve"> 1/2, 3/2, 5/2 </t>
  </si>
  <si>
    <t xml:space="preserve"> (1/2+, 3/2+, 5/2+)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</si>
</sst>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000"/>
  </numFmts>
  <fonts count="14" x14ac:knownFonts="1">
    <font>
      <sz val="11"/>
      <color theme="1"/>
      <name val="Calibri"/>
      <family val="2"/>
      <scheme val="minor"/>
    </font>
    <font>
      <sz val="10"/>
      <color theme="1"/>
      <name val="Times New Roman"/>
      <family val="1"/>
    </font>
    <font>
      <sz val="9"/>
      <color theme="1"/>
      <name val="Times New Roman"/>
      <family val="1"/>
    </font>
    <font>
      <b/>
      <sz val="9"/>
      <color indexed="10"/>
      <name val="Arial"/>
      <family val="2"/>
    </font>
    <font>
      <sz val="9"/>
      <color theme="1"/>
      <name val="Calibri"/>
      <family val="2"/>
      <scheme val="minor"/>
    </font>
    <font>
      <sz val="9"/>
      <color rgb="FFFF0000"/>
      <name val="Calibri"/>
      <family val="2"/>
      <scheme val="minor"/>
    </font>
    <font>
      <sz val="9"/>
      <color rgb="FF002060"/>
      <name val="Calibri"/>
      <family val="2"/>
      <scheme val="minor"/>
    </font>
    <font>
      <sz val="11"/>
      <color indexed="8"/>
      <name val="宋体"/>
      <family val="3"/>
      <charset val="134"/>
    </font>
    <font>
      <b/>
      <sz val="9"/>
      <color theme="1"/>
      <name val="Arial"/>
      <family val="2"/>
    </font>
    <font>
      <sz val="9"/>
      <color theme="1"/>
      <name val="Arial"/>
      <family val="2"/>
    </font>
    <font>
      <sz val="12"/>
      <color theme="1"/>
      <name val="Arial"/>
      <family val="2"/>
    </font>
    <font>
      <sz val="12"/>
      <color indexed="8"/>
      <name val="Arial"/>
      <family val="2"/>
    </font>
    <font>
      <sz val="12"/>
      <name val="Arial"/>
      <family val="2"/>
    </font>
    <font>
      <sz val="9"/>
      <color rgb="FFC00000"/>
      <name val="Times New Roman"/>
      <family val="1"/>
    </font>
  </fonts>
  <fills count="9">
    <fill>
      <patternFill patternType="none"/>
    </fill>
    <fill>
      <patternFill patternType="gray125"/>
    </fill>
    <fill>
      <patternFill patternType="solid">
        <fgColor theme="9" tint="0.79998168889431442"/>
        <bgColor indexed="64"/>
      </patternFill>
    </fill>
    <fill>
      <patternFill patternType="solid">
        <fgColor rgb="FFFFE1FF"/>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indexed="42"/>
        <bgColor indexed="64"/>
      </patternFill>
    </fill>
    <fill>
      <patternFill patternType="solid">
        <fgColor theme="7" tint="0.59999389629810485"/>
        <bgColor indexed="64"/>
      </patternFill>
    </fill>
  </fills>
  <borders count="2">
    <border>
      <left/>
      <right/>
      <top/>
      <bottom/>
      <diagonal/>
    </border>
    <border>
      <left/>
      <right/>
      <top style="thin">
        <color indexed="8"/>
      </top>
      <bottom/>
      <diagonal/>
    </border>
  </borders>
  <cellStyleXfs count="2">
    <xf numFmtId="0" fontId="0" fillId="0" borderId="0"/>
    <xf numFmtId="0" fontId="7" fillId="0" borderId="0">
      <alignment vertical="center"/>
    </xf>
  </cellStyleXfs>
  <cellXfs count="60">
    <xf numFmtId="0" fontId="0" fillId="0" borderId="0" xfId="0"/>
    <xf numFmtId="0" fontId="1" fillId="0" borderId="0" xfId="0" applyFont="1" applyAlignment="1">
      <alignment horizontal="left" vertical="center"/>
    </xf>
    <xf numFmtId="0" fontId="1" fillId="0" borderId="0" xfId="0" applyFont="1"/>
    <xf numFmtId="0" fontId="2" fillId="0" borderId="0" xfId="0" applyFont="1" applyAlignment="1">
      <alignment horizontal="center" vertical="center"/>
    </xf>
    <xf numFmtId="0" fontId="2" fillId="0" borderId="0" xfId="0" applyFont="1" applyFill="1" applyBorder="1" applyAlignment="1">
      <alignment horizontal="center" vertical="center"/>
    </xf>
    <xf numFmtId="0" fontId="3" fillId="7" borderId="1" xfId="0" applyFont="1" applyFill="1" applyBorder="1" applyAlignment="1">
      <alignment horizontal="left" vertical="center"/>
    </xf>
    <xf numFmtId="1" fontId="2" fillId="3" borderId="0" xfId="0" applyNumberFormat="1" applyFont="1" applyFill="1" applyAlignment="1">
      <alignment horizontal="center" vertical="center"/>
    </xf>
    <xf numFmtId="0" fontId="2" fillId="3" borderId="0" xfId="0" applyFont="1" applyFill="1" applyAlignment="1">
      <alignment horizontal="center" vertical="center"/>
    </xf>
    <xf numFmtId="167" fontId="2" fillId="3"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2" fillId="0" borderId="0" xfId="0" applyNumberFormat="1" applyFont="1" applyAlignment="1">
      <alignment horizontal="center" vertical="center"/>
    </xf>
    <xf numFmtId="166" fontId="2" fillId="3" borderId="0" xfId="0" applyNumberFormat="1" applyFont="1" applyFill="1" applyAlignment="1">
      <alignment horizontal="center" vertical="center"/>
    </xf>
    <xf numFmtId="167" fontId="2" fillId="3" borderId="0" xfId="0" quotePrefix="1" applyNumberFormat="1" applyFont="1" applyFill="1" applyAlignment="1">
      <alignment horizontal="center" vertical="center"/>
    </xf>
    <xf numFmtId="1" fontId="2" fillId="4" borderId="0" xfId="0" applyNumberFormat="1" applyFont="1" applyFill="1" applyAlignment="1">
      <alignment horizontal="center" vertical="center"/>
    </xf>
    <xf numFmtId="0" fontId="2" fillId="4" borderId="0" xfId="0" applyFont="1" applyFill="1" applyAlignment="1">
      <alignment horizontal="center" vertical="center"/>
    </xf>
    <xf numFmtId="167" fontId="2" fillId="4" borderId="0" xfId="0" applyNumberFormat="1" applyFont="1" applyFill="1" applyAlignment="1">
      <alignment horizontal="center" vertical="center"/>
    </xf>
    <xf numFmtId="1" fontId="2" fillId="5" borderId="0" xfId="0" applyNumberFormat="1" applyFont="1" applyFill="1" applyAlignment="1">
      <alignment horizontal="center" vertical="center"/>
    </xf>
    <xf numFmtId="0" fontId="2" fillId="5" borderId="0" xfId="0" applyFont="1" applyFill="1" applyAlignment="1">
      <alignment horizontal="center" vertical="center"/>
    </xf>
    <xf numFmtId="167" fontId="2" fillId="5" borderId="0" xfId="0" applyNumberFormat="1" applyFont="1" applyFill="1" applyAlignment="1">
      <alignment horizontal="center" vertical="center"/>
    </xf>
    <xf numFmtId="1" fontId="2" fillId="2" borderId="0" xfId="0" applyNumberFormat="1" applyFont="1" applyFill="1" applyAlignment="1">
      <alignment horizontal="center" vertical="center"/>
    </xf>
    <xf numFmtId="0" fontId="2" fillId="2" borderId="0" xfId="0" applyFont="1" applyFill="1" applyAlignment="1">
      <alignment horizontal="center" vertical="center"/>
    </xf>
    <xf numFmtId="167" fontId="2" fillId="2" borderId="0" xfId="0" applyNumberFormat="1" applyFont="1" applyFill="1" applyAlignment="1">
      <alignment horizontal="center" vertical="center"/>
    </xf>
    <xf numFmtId="165" fontId="2" fillId="0" borderId="0" xfId="0" applyNumberFormat="1" applyFont="1" applyAlignment="1">
      <alignment horizontal="center" vertical="center"/>
    </xf>
    <xf numFmtId="0" fontId="2" fillId="6" borderId="0" xfId="0" applyFont="1" applyFill="1" applyAlignment="1">
      <alignment horizontal="center" vertical="center"/>
    </xf>
    <xf numFmtId="167" fontId="2" fillId="6"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0" fontId="4" fillId="0" borderId="0" xfId="0" applyFont="1" applyFill="1" applyAlignment="1">
      <alignment horizontal="left" vertical="center"/>
    </xf>
    <xf numFmtId="0" fontId="2" fillId="0" borderId="0" xfId="0" applyFont="1" applyFill="1" applyAlignment="1">
      <alignment horizontal="center" vertical="center"/>
    </xf>
    <xf numFmtId="1" fontId="4" fillId="0" borderId="0" xfId="0" applyNumberFormat="1" applyFont="1" applyFill="1" applyAlignment="1">
      <alignment horizontal="left" vertical="center"/>
    </xf>
    <xf numFmtId="0" fontId="5" fillId="0" borderId="0" xfId="0" applyFont="1" applyFill="1" applyAlignment="1">
      <alignment horizontal="left" vertical="center"/>
    </xf>
    <xf numFmtId="166" fontId="5" fillId="0" borderId="0" xfId="0" applyNumberFormat="1" applyFont="1" applyFill="1" applyAlignment="1">
      <alignment horizontal="left" vertical="center"/>
    </xf>
    <xf numFmtId="0" fontId="6" fillId="0" borderId="0" xfId="0" applyFont="1" applyFill="1" applyAlignment="1">
      <alignment horizontal="left" vertical="center"/>
    </xf>
    <xf numFmtId="1" fontId="6" fillId="0" borderId="0" xfId="0" applyNumberFormat="1" applyFont="1" applyFill="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8" fillId="6" borderId="0" xfId="0" applyFont="1" applyFill="1" applyAlignment="1">
      <alignment horizontal="center" vertical="center"/>
    </xf>
    <xf numFmtId="0" fontId="9" fillId="6" borderId="0" xfId="0" applyFont="1" applyFill="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xf>
    <xf numFmtId="0" fontId="8" fillId="0" borderId="0" xfId="0" applyFont="1" applyFill="1" applyAlignment="1">
      <alignment horizontal="left" vertical="center"/>
    </xf>
    <xf numFmtId="0" fontId="9" fillId="0" borderId="0" xfId="0" applyFont="1" applyFill="1" applyAlignment="1">
      <alignment horizontal="left" vertical="center"/>
    </xf>
    <xf numFmtId="1" fontId="8" fillId="6" borderId="0" xfId="0" applyNumberFormat="1" applyFont="1" applyFill="1" applyAlignment="1">
      <alignment horizontal="center" vertical="center"/>
    </xf>
    <xf numFmtId="1" fontId="9" fillId="6" borderId="0" xfId="0" applyNumberFormat="1" applyFont="1" applyFill="1" applyAlignment="1">
      <alignment horizontal="center" vertical="center"/>
    </xf>
    <xf numFmtId="165" fontId="8" fillId="0" borderId="0" xfId="0" applyNumberFormat="1" applyFont="1" applyAlignment="1">
      <alignment horizontal="center" vertical="center"/>
    </xf>
    <xf numFmtId="165" fontId="9" fillId="0" borderId="0" xfId="0" applyNumberFormat="1" applyFont="1" applyAlignment="1">
      <alignment horizontal="center" vertical="center"/>
    </xf>
    <xf numFmtId="0" fontId="9" fillId="0" borderId="0" xfId="0" applyFont="1" applyFill="1" applyAlignment="1">
      <alignment horizontal="center" vertical="center"/>
    </xf>
    <xf numFmtId="165" fontId="9" fillId="0" borderId="0" xfId="0" applyNumberFormat="1" applyFont="1" applyFill="1" applyAlignment="1">
      <alignment horizontal="center" vertical="center"/>
    </xf>
    <xf numFmtId="0" fontId="10" fillId="0" borderId="0" xfId="0" applyFont="1" applyAlignment="1">
      <alignment horizontal="center" vertical="center"/>
    </xf>
    <xf numFmtId="0" fontId="10" fillId="0" borderId="0" xfId="0" quotePrefix="1" applyFont="1" applyAlignment="1">
      <alignment horizontal="center" vertical="center"/>
    </xf>
    <xf numFmtId="0" fontId="11" fillId="8" borderId="0" xfId="1" applyFont="1" applyFill="1" applyAlignment="1">
      <alignment horizontal="center" vertical="center"/>
    </xf>
    <xf numFmtId="0" fontId="12" fillId="8" borderId="0" xfId="1" applyFont="1" applyFill="1" applyAlignment="1">
      <alignment horizontal="center" vertical="center"/>
    </xf>
    <xf numFmtId="165" fontId="10" fillId="8" borderId="0" xfId="0" applyNumberFormat="1" applyFont="1" applyFill="1" applyAlignment="1">
      <alignment horizontal="center" vertical="center"/>
    </xf>
    <xf numFmtId="165" fontId="9" fillId="0" borderId="0" xfId="0" applyNumberFormat="1" applyFont="1" applyFill="1" applyBorder="1" applyAlignment="1">
      <alignment horizontal="left" vertical="center"/>
    </xf>
    <xf numFmtId="165" fontId="9" fillId="0" borderId="0" xfId="0" applyNumberFormat="1" applyFont="1" applyFill="1" applyBorder="1" applyAlignment="1">
      <alignment horizontal="center" vertical="center"/>
    </xf>
    <xf numFmtId="0" fontId="9" fillId="0" borderId="0" xfId="0" applyFont="1" applyFill="1" applyAlignment="1">
      <alignment horizontal="left"/>
    </xf>
    <xf numFmtId="2" fontId="8" fillId="0" borderId="0" xfId="0" applyNumberFormat="1" applyFont="1" applyFill="1" applyAlignment="1">
      <alignment horizontal="left" vertical="center"/>
    </xf>
    <xf numFmtId="1" fontId="8" fillId="0" borderId="0" xfId="0" applyNumberFormat="1" applyFont="1" applyFill="1" applyAlignment="1">
      <alignment horizontal="left" vertical="center"/>
    </xf>
    <xf numFmtId="0" fontId="13" fillId="0" borderId="0" xfId="0" applyFont="1" applyAlignment="1">
      <alignment horizontal="left" vertical="center"/>
    </xf>
    <xf numFmtId="0" fontId="2" fillId="0" borderId="0" xfId="0" applyFont="1" applyAlignment="1">
      <alignment horizontal="left" vertical="center"/>
    </xf>
  </cellXfs>
  <cellStyles count="2">
    <cellStyle name="Normal" xfId="0" builtinId="0"/>
    <cellStyle name="常规 2" xfId="1" xr:uid="{211472B1-97BB-406F-BB7C-093EC1B78C62}"/>
  </cellStyles>
  <dxfs count="0"/>
  <tableStyles count="0" defaultTableStyle="TableStyleMedium2" defaultPivotStyle="PivotStyleLight16"/>
  <colors>
    <mruColors>
      <color rgb="FFCCFFCC"/>
      <color rgb="FF99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B99E-8D39-4BDE-BE39-142A01FFE5D3}">
  <dimension ref="A1:B21"/>
  <sheetViews>
    <sheetView workbookViewId="0">
      <selection activeCell="A22" sqref="A22"/>
    </sheetView>
  </sheetViews>
  <sheetFormatPr defaultRowHeight="13.2" x14ac:dyDescent="0.25"/>
  <cols>
    <col min="1" max="1" width="18.44140625" style="2" bestFit="1" customWidth="1"/>
    <col min="2" max="2" width="255.77734375" style="2" bestFit="1" customWidth="1"/>
    <col min="3" max="16384" width="8.88671875" style="2"/>
  </cols>
  <sheetData>
    <row r="1" spans="1:2" x14ac:dyDescent="0.25">
      <c r="A1" s="1" t="s">
        <v>1</v>
      </c>
      <c r="B1" s="1" t="s">
        <v>55</v>
      </c>
    </row>
    <row r="2" spans="1:2" x14ac:dyDescent="0.25">
      <c r="A2" s="1" t="s">
        <v>0</v>
      </c>
      <c r="B2" s="1" t="s">
        <v>56</v>
      </c>
    </row>
    <row r="3" spans="1:2" x14ac:dyDescent="0.25">
      <c r="A3" s="1" t="s">
        <v>2</v>
      </c>
      <c r="B3" s="1" t="s">
        <v>78</v>
      </c>
    </row>
    <row r="4" spans="1:2" x14ac:dyDescent="0.25">
      <c r="A4" s="1" t="s">
        <v>3</v>
      </c>
      <c r="B4" s="1" t="s">
        <v>19</v>
      </c>
    </row>
    <row r="5" spans="1:2" x14ac:dyDescent="0.25">
      <c r="A5" s="1" t="s">
        <v>4</v>
      </c>
      <c r="B5" s="1" t="s">
        <v>77</v>
      </c>
    </row>
    <row r="6" spans="1:2" x14ac:dyDescent="0.25">
      <c r="A6" s="1" t="s">
        <v>5</v>
      </c>
      <c r="B6" s="1" t="s">
        <v>79</v>
      </c>
    </row>
    <row r="7" spans="1:2" x14ac:dyDescent="0.25">
      <c r="A7" s="1" t="s">
        <v>75</v>
      </c>
      <c r="B7" s="1" t="s">
        <v>80</v>
      </c>
    </row>
    <row r="8" spans="1:2" x14ac:dyDescent="0.25">
      <c r="A8" s="1" t="s">
        <v>23</v>
      </c>
      <c r="B8" s="1" t="s">
        <v>81</v>
      </c>
    </row>
    <row r="9" spans="1:2" x14ac:dyDescent="0.25">
      <c r="A9" s="2" t="s">
        <v>23</v>
      </c>
      <c r="B9" s="2" t="s">
        <v>73</v>
      </c>
    </row>
    <row r="10" spans="1:2" x14ac:dyDescent="0.25">
      <c r="A10" s="1" t="s">
        <v>6</v>
      </c>
      <c r="B10" s="1" t="s">
        <v>24</v>
      </c>
    </row>
    <row r="11" spans="1:2" x14ac:dyDescent="0.25">
      <c r="A11" s="1" t="s">
        <v>7</v>
      </c>
      <c r="B11" s="1" t="s">
        <v>8</v>
      </c>
    </row>
    <row r="12" spans="1:2" x14ac:dyDescent="0.25">
      <c r="A12" s="1" t="s">
        <v>9</v>
      </c>
      <c r="B12" s="1" t="s">
        <v>25</v>
      </c>
    </row>
    <row r="13" spans="1:2" x14ac:dyDescent="0.25">
      <c r="A13" s="1" t="s">
        <v>10</v>
      </c>
      <c r="B13" s="1" t="s">
        <v>26</v>
      </c>
    </row>
    <row r="14" spans="1:2" x14ac:dyDescent="0.25">
      <c r="A14" s="1" t="s">
        <v>11</v>
      </c>
      <c r="B14" s="1" t="s">
        <v>12</v>
      </c>
    </row>
    <row r="15" spans="1:2" x14ac:dyDescent="0.25">
      <c r="A15" s="1" t="s">
        <v>13</v>
      </c>
      <c r="B15" s="1" t="s">
        <v>57</v>
      </c>
    </row>
    <row r="16" spans="1:2" x14ac:dyDescent="0.25">
      <c r="A16" s="1" t="s">
        <v>14</v>
      </c>
      <c r="B16" s="1" t="s">
        <v>83</v>
      </c>
    </row>
    <row r="17" spans="1:2" x14ac:dyDescent="0.25">
      <c r="A17" s="1" t="s">
        <v>14</v>
      </c>
      <c r="B17" s="1" t="s">
        <v>82</v>
      </c>
    </row>
    <row r="18" spans="1:2" x14ac:dyDescent="0.25">
      <c r="A18" s="1" t="s">
        <v>15</v>
      </c>
      <c r="B18" s="1" t="s">
        <v>16</v>
      </c>
    </row>
    <row r="19" spans="1:2" x14ac:dyDescent="0.25">
      <c r="A19" s="1" t="s">
        <v>17</v>
      </c>
      <c r="B19" s="1" t="s">
        <v>16</v>
      </c>
    </row>
    <row r="20" spans="1:2" x14ac:dyDescent="0.25">
      <c r="A20" s="1" t="s">
        <v>18</v>
      </c>
      <c r="B20" s="1" t="s">
        <v>16</v>
      </c>
    </row>
    <row r="21" spans="1:2" x14ac:dyDescent="0.25">
      <c r="A21" s="1" t="s">
        <v>74</v>
      </c>
      <c r="B21" s="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D82C-4C5A-4398-A424-58BAB9A73E18}">
  <dimension ref="A1:AQ50"/>
  <sheetViews>
    <sheetView tabSelected="1" topLeftCell="G1" zoomScaleNormal="100" workbookViewId="0">
      <selection activeCell="S9" sqref="S9"/>
    </sheetView>
  </sheetViews>
  <sheetFormatPr defaultRowHeight="12" x14ac:dyDescent="0.3"/>
  <cols>
    <col min="1" max="1" width="7.77734375" style="3" bestFit="1" customWidth="1"/>
    <col min="2" max="2" width="11.21875" style="3" bestFit="1" customWidth="1"/>
    <col min="3" max="3" width="10.77734375" style="3" bestFit="1" customWidth="1"/>
    <col min="4" max="4" width="8.21875" style="3" bestFit="1" customWidth="1"/>
    <col min="5" max="5" width="2.44140625" style="3" bestFit="1" customWidth="1"/>
    <col min="6" max="6" width="8.21875" style="3" bestFit="1" customWidth="1"/>
    <col min="7" max="8" width="9.33203125" style="3" bestFit="1" customWidth="1"/>
    <col min="9" max="10" width="10.109375" style="3" bestFit="1" customWidth="1"/>
    <col min="11" max="11" width="8.5546875" style="3" bestFit="1" customWidth="1"/>
    <col min="12" max="13" width="10.109375" style="3" bestFit="1" customWidth="1"/>
    <col min="14" max="14" width="10.109375" style="3" customWidth="1"/>
    <col min="15" max="17" width="11.88671875" style="34" bestFit="1" customWidth="1"/>
    <col min="18" max="18" width="7.21875" style="34" customWidth="1"/>
    <col min="19" max="19" width="17.6640625" style="34" bestFit="1" customWidth="1"/>
    <col min="20" max="20" width="6.5546875" style="38" bestFit="1" customWidth="1"/>
    <col min="21" max="21" width="5.33203125" style="38" bestFit="1" customWidth="1"/>
    <col min="22" max="22" width="5.77734375" style="38" bestFit="1" customWidth="1"/>
    <col min="23" max="25" width="8.44140625" style="38" bestFit="1" customWidth="1"/>
    <col min="26" max="27" width="5.6640625" style="38" bestFit="1" customWidth="1"/>
    <col min="28" max="32" width="8.21875" style="38" customWidth="1"/>
    <col min="33" max="33" width="20.5546875" style="3" bestFit="1" customWidth="1"/>
    <col min="34" max="34" width="8.21875" style="3" customWidth="1"/>
    <col min="35" max="35" width="11" style="3" bestFit="1" customWidth="1"/>
    <col min="36" max="36" width="8.77734375" style="3" bestFit="1" customWidth="1"/>
    <col min="37" max="37" width="9.33203125" style="3" bestFit="1" customWidth="1"/>
    <col min="38" max="39" width="9" style="3" bestFit="1" customWidth="1"/>
    <col min="40" max="16384" width="8.88671875" style="3"/>
  </cols>
  <sheetData>
    <row r="1" spans="1:43" x14ac:dyDescent="0.3">
      <c r="A1" s="3" t="s">
        <v>20</v>
      </c>
      <c r="B1" s="4" t="s">
        <v>21</v>
      </c>
      <c r="C1" s="4" t="s">
        <v>58</v>
      </c>
      <c r="D1" s="3" t="s">
        <v>71</v>
      </c>
      <c r="E1" s="3" t="s">
        <v>72</v>
      </c>
      <c r="F1" s="3" t="s">
        <v>100</v>
      </c>
      <c r="G1" s="3" t="s">
        <v>101</v>
      </c>
      <c r="H1" s="3" t="s">
        <v>102</v>
      </c>
      <c r="I1" s="3" t="s">
        <v>117</v>
      </c>
      <c r="J1" s="3" t="s">
        <v>118</v>
      </c>
      <c r="K1" s="3" t="s">
        <v>100</v>
      </c>
      <c r="L1" s="3" t="s">
        <v>117</v>
      </c>
      <c r="M1" s="3" t="s">
        <v>118</v>
      </c>
      <c r="O1" s="33" t="s">
        <v>104</v>
      </c>
      <c r="P1" s="34" t="s">
        <v>104</v>
      </c>
      <c r="Q1" s="34" t="s">
        <v>104</v>
      </c>
      <c r="R1" s="5" t="s">
        <v>20</v>
      </c>
      <c r="S1" s="58" t="s">
        <v>186</v>
      </c>
      <c r="T1" s="33" t="s">
        <v>104</v>
      </c>
      <c r="U1" s="34" t="s">
        <v>104</v>
      </c>
      <c r="V1" s="34" t="s">
        <v>104</v>
      </c>
      <c r="W1" s="35" t="s">
        <v>122</v>
      </c>
      <c r="X1" s="36" t="s">
        <v>122</v>
      </c>
      <c r="Y1" s="36" t="s">
        <v>122</v>
      </c>
      <c r="Z1" s="41"/>
      <c r="AA1" s="41"/>
      <c r="AB1" s="37" t="s">
        <v>129</v>
      </c>
      <c r="AC1" s="38" t="s">
        <v>130</v>
      </c>
      <c r="AD1" s="38" t="s">
        <v>131</v>
      </c>
      <c r="AH1" s="26"/>
      <c r="AI1" s="4"/>
      <c r="AJ1" s="29" t="s">
        <v>123</v>
      </c>
      <c r="AK1" s="29" t="s">
        <v>124</v>
      </c>
      <c r="AL1" s="31"/>
      <c r="AM1" s="31"/>
      <c r="AN1" s="31"/>
      <c r="AO1" s="26"/>
    </row>
    <row r="2" spans="1:43" x14ac:dyDescent="0.2">
      <c r="A2" s="6" t="s">
        <v>27</v>
      </c>
      <c r="B2" s="4" t="s">
        <v>25</v>
      </c>
      <c r="C2" s="4" t="s">
        <v>64</v>
      </c>
      <c r="D2" s="7" t="s">
        <v>8</v>
      </c>
      <c r="E2" s="7" t="s">
        <v>22</v>
      </c>
      <c r="F2" s="8">
        <v>3.380903585</v>
      </c>
      <c r="G2" s="7">
        <v>0.18000003000000001</v>
      </c>
      <c r="H2" s="7">
        <v>0.18000002800000001</v>
      </c>
      <c r="I2" s="8">
        <f>F2+G2</f>
        <v>3.560903615</v>
      </c>
      <c r="J2" s="8">
        <f>F2-H2</f>
        <v>3.2009035570000002</v>
      </c>
      <c r="K2" s="7" t="str">
        <f>LEFT(F2,8)&amp;"("&amp;"1"&amp;")"</f>
        <v>3.380903(1)</v>
      </c>
      <c r="L2" s="7" t="str">
        <f>LEFT(I2,8)&amp;"("&amp;"1"&amp;")"</f>
        <v>3.560903(1)</v>
      </c>
      <c r="M2" s="7" t="str">
        <f>LEFT(J2,8)&amp;"("&amp;"1"&amp;")"</f>
        <v>3.200903(1)</v>
      </c>
      <c r="O2" s="33" t="s">
        <v>105</v>
      </c>
      <c r="P2" s="34" t="s">
        <v>119</v>
      </c>
      <c r="Q2" s="34" t="s">
        <v>121</v>
      </c>
      <c r="R2" s="39">
        <v>6388</v>
      </c>
      <c r="S2" s="59" t="s">
        <v>187</v>
      </c>
      <c r="T2" s="57" t="str">
        <f>LEFT(O2,6)</f>
        <v>4.1144</v>
      </c>
      <c r="U2" s="41" t="str">
        <f>LEFT(P2,6)</f>
        <v>4.0919</v>
      </c>
      <c r="V2" s="41" t="str">
        <f>LEFT(Q2,6)</f>
        <v>4.1381</v>
      </c>
      <c r="W2" s="42">
        <f>10^T2</f>
        <v>13013.67630107466</v>
      </c>
      <c r="X2" s="43">
        <f>10^U2</f>
        <v>12356.62878792737</v>
      </c>
      <c r="Y2" s="43">
        <f>10^V2</f>
        <v>13743.583962973451</v>
      </c>
      <c r="Z2" s="45">
        <f>T2-U2</f>
        <v>2.2499999999999964E-2</v>
      </c>
      <c r="AA2" s="45">
        <f>V2-T2</f>
        <v>2.3699999999999832E-2</v>
      </c>
      <c r="AB2" s="44">
        <f>$AC$27/W2/$AC$29</f>
        <v>0.29030894370345578</v>
      </c>
      <c r="AC2" s="45">
        <f>($AC$27+$AD$27)/X2/($AC$29-$AD$29)</f>
        <v>0.30655483486145091</v>
      </c>
      <c r="AD2" s="45">
        <f>($AC$27-$AD$27)/Y2/($AC$29+$AD$29)</f>
        <v>0.27416645005103035</v>
      </c>
      <c r="AE2" s="45">
        <f>AC2-AB2</f>
        <v>1.6245891157995129E-2</v>
      </c>
      <c r="AF2" s="45">
        <f>AB2-AD2</f>
        <v>1.6142493652425427E-2</v>
      </c>
      <c r="AH2" s="28"/>
      <c r="AI2" s="4"/>
      <c r="AJ2" s="30">
        <f t="shared" ref="AJ2:AJ23" si="0">W2-X2</f>
        <v>657.04751314729037</v>
      </c>
      <c r="AK2" s="30">
        <f t="shared" ref="AK2:AK23" si="1">Y2-W2</f>
        <v>729.90766189879105</v>
      </c>
      <c r="AL2" s="32">
        <f t="shared" ref="AL2:AL22" si="2">ROUND(W2,0)</f>
        <v>13014</v>
      </c>
      <c r="AM2" s="32">
        <f t="shared" ref="AM2:AN2" si="3">ROUND(AJ2,0)</f>
        <v>657</v>
      </c>
      <c r="AN2" s="32">
        <f t="shared" si="3"/>
        <v>730</v>
      </c>
      <c r="AO2" s="28" t="str">
        <f>AL2&amp;"(+"&amp;AM2&amp;"-"&amp;AN2&amp;")"</f>
        <v>13014(+657-730)</v>
      </c>
    </row>
    <row r="3" spans="1:43" x14ac:dyDescent="0.2">
      <c r="A3" s="6" t="s">
        <v>28</v>
      </c>
      <c r="B3" s="9" t="s">
        <v>59</v>
      </c>
      <c r="C3" s="9" t="s">
        <v>98</v>
      </c>
      <c r="D3" s="7" t="s">
        <v>8</v>
      </c>
      <c r="E3" s="7" t="s">
        <v>22</v>
      </c>
      <c r="F3" s="8">
        <v>0.20210017999999999</v>
      </c>
      <c r="G3" s="7">
        <v>1.9745736E-2</v>
      </c>
      <c r="H3" s="7">
        <v>1.9745736E-2</v>
      </c>
      <c r="I3" s="7">
        <f>F3+G3</f>
        <v>0.22184591599999998</v>
      </c>
      <c r="J3" s="7">
        <f>F3-H3</f>
        <v>0.182354444</v>
      </c>
      <c r="K3" s="7" t="str">
        <f t="shared" ref="K3:K30" si="4">LEFT(F3,8)&amp;"("&amp;"1"&amp;")"</f>
        <v>0.202100(1)</v>
      </c>
      <c r="L3" s="3" t="str">
        <f t="shared" ref="L3:L29" si="5">LEFT(I3,8)&amp;"("&amp;"1"&amp;")"</f>
        <v>0.221845(1)</v>
      </c>
      <c r="M3" s="3" t="str">
        <f t="shared" ref="M3:M30" si="6">LEFT(J3,8)&amp;"("&amp;"1"&amp;")"</f>
        <v>0.182354(1)</v>
      </c>
      <c r="O3" s="33" t="s">
        <v>106</v>
      </c>
      <c r="P3" s="34" t="s">
        <v>162</v>
      </c>
      <c r="Q3" s="34" t="s">
        <v>143</v>
      </c>
      <c r="R3" s="39">
        <v>6936</v>
      </c>
      <c r="S3" s="59" t="s">
        <v>187</v>
      </c>
      <c r="T3" s="56" t="str">
        <f t="shared" ref="T3:T23" si="7">LEFT(O3,6)</f>
        <v>5.0854</v>
      </c>
      <c r="U3" s="41" t="str">
        <f t="shared" ref="U3:U23" si="8">LEFT(P3,6)</f>
        <v>5.0218</v>
      </c>
      <c r="V3" s="41" t="str">
        <f t="shared" ref="V3:V23" si="9">LEFT(Q3,6)</f>
        <v>5.1560</v>
      </c>
      <c r="W3" s="42">
        <f t="shared" ref="W3:W24" si="10">10^T3</f>
        <v>121730.66653544766</v>
      </c>
      <c r="X3" s="43">
        <f t="shared" ref="X3:X24" si="11">10^U3</f>
        <v>105147.75390081837</v>
      </c>
      <c r="Y3" s="43">
        <f>10^V3</f>
        <v>143218.78992735452</v>
      </c>
      <c r="Z3" s="45">
        <f t="shared" ref="Z3:Z24" si="12">T3-U3</f>
        <v>6.3600000000000101E-2</v>
      </c>
      <c r="AA3" s="45">
        <f t="shared" ref="AA3:AA24" si="13">V3-T3</f>
        <v>7.0599999999999774E-2</v>
      </c>
      <c r="AB3" s="44">
        <f>$AC$27/W3/$AC$29</f>
        <v>3.1035619274815518E-2</v>
      </c>
      <c r="AC3" s="45">
        <f>($AC$27+$AD$27)/X3/($AC$29-$AD$29)</f>
        <v>3.6025346781067509E-2</v>
      </c>
      <c r="AD3" s="45">
        <f>($AC$27-$AD$27)/Y3/($AC$29+$AD$29)</f>
        <v>2.6309603844704849E-2</v>
      </c>
      <c r="AE3" s="45">
        <f t="shared" ref="AE3:AE24" si="14">AC3-AB3</f>
        <v>4.9897275062519911E-3</v>
      </c>
      <c r="AF3" s="45">
        <f t="shared" ref="AF3:AF24" si="15">AB3-AD3</f>
        <v>4.7260154301106694E-3</v>
      </c>
      <c r="AH3" s="28"/>
      <c r="AI3" s="27"/>
      <c r="AJ3" s="30">
        <f t="shared" si="0"/>
        <v>16582.912634629291</v>
      </c>
      <c r="AK3" s="30">
        <f t="shared" si="1"/>
        <v>21488.123391906862</v>
      </c>
      <c r="AL3" s="32">
        <f t="shared" si="2"/>
        <v>121731</v>
      </c>
      <c r="AM3" s="32">
        <f t="shared" ref="AM3:AM23" si="16">ROUND(AJ3,0)</f>
        <v>16583</v>
      </c>
      <c r="AN3" s="32">
        <f t="shared" ref="AN3:AN23" si="17">ROUND(AK3,0)</f>
        <v>21488</v>
      </c>
      <c r="AO3" s="28" t="str">
        <f t="shared" ref="AO3:AO23" si="18">AL3&amp;"(+"&amp;AM3&amp;"-"&amp;AN3&amp;")"</f>
        <v>121731(+16583-21488)</v>
      </c>
      <c r="AP3" s="10"/>
      <c r="AQ3" s="10"/>
    </row>
    <row r="4" spans="1:43" x14ac:dyDescent="0.2">
      <c r="A4" s="11" t="s">
        <v>29</v>
      </c>
      <c r="B4" s="9" t="s">
        <v>60</v>
      </c>
      <c r="C4" s="9" t="s">
        <v>89</v>
      </c>
      <c r="D4" s="7" t="s">
        <v>8</v>
      </c>
      <c r="E4" s="7" t="s">
        <v>22</v>
      </c>
      <c r="F4" s="8">
        <v>8.6941329999999997E-2</v>
      </c>
      <c r="G4" s="7">
        <v>9.2836010000000007E-3</v>
      </c>
      <c r="H4" s="7">
        <v>9.2836010000000007E-3</v>
      </c>
      <c r="I4" s="7">
        <f>F4+G4</f>
        <v>9.6224931E-2</v>
      </c>
      <c r="J4" s="7">
        <f>F4-H4</f>
        <v>7.7657728999999995E-2</v>
      </c>
      <c r="K4" s="7" t="str">
        <f t="shared" si="4"/>
        <v>0.086941(1)</v>
      </c>
      <c r="L4" s="3" t="str">
        <f t="shared" si="5"/>
        <v>0.096224(1)</v>
      </c>
      <c r="M4" s="3" t="str">
        <f t="shared" si="6"/>
        <v>0.077657(1)</v>
      </c>
      <c r="O4" s="33" t="s">
        <v>107</v>
      </c>
      <c r="P4" s="34" t="s">
        <v>163</v>
      </c>
      <c r="Q4" s="34" t="s">
        <v>144</v>
      </c>
      <c r="R4" s="39">
        <v>7037</v>
      </c>
      <c r="S4" s="59" t="s">
        <v>187</v>
      </c>
      <c r="T4" s="56" t="str">
        <f t="shared" si="7"/>
        <v>5.4017</v>
      </c>
      <c r="U4" s="41" t="str">
        <f t="shared" si="8"/>
        <v>5.3359</v>
      </c>
      <c r="V4" s="41" t="str">
        <f t="shared" si="9"/>
        <v>5.4755</v>
      </c>
      <c r="W4" s="42">
        <f t="shared" si="10"/>
        <v>252173.82156449268</v>
      </c>
      <c r="X4" s="43">
        <f t="shared" si="11"/>
        <v>216720.50299642404</v>
      </c>
      <c r="Y4" s="43">
        <f t="shared" ref="Y4:Y24" si="19">10^V4</f>
        <v>298882.16469593794</v>
      </c>
      <c r="Z4" s="45">
        <f t="shared" si="12"/>
        <v>6.5800000000000303E-2</v>
      </c>
      <c r="AA4" s="45">
        <f t="shared" si="13"/>
        <v>7.380000000000031E-2</v>
      </c>
      <c r="AB4" s="44">
        <f>$AC$27/W4/$AC$29</f>
        <v>1.4981676516717543E-2</v>
      </c>
      <c r="AC4" s="45">
        <f>($AC$27+$AD$27)/X4/($AC$29-$AD$29)</f>
        <v>1.7478661433292395E-2</v>
      </c>
      <c r="AD4" s="45">
        <f>($AC$27-$AD$27)/Y4/($AC$29+$AD$29)</f>
        <v>1.2607074195745454E-2</v>
      </c>
      <c r="AE4" s="45">
        <f t="shared" si="14"/>
        <v>2.4969849165748514E-3</v>
      </c>
      <c r="AF4" s="45">
        <f t="shared" si="15"/>
        <v>2.3746023209720891E-3</v>
      </c>
      <c r="AH4" s="28"/>
      <c r="AI4" s="27"/>
      <c r="AJ4" s="30">
        <f t="shared" si="0"/>
        <v>35453.318568068644</v>
      </c>
      <c r="AK4" s="30">
        <f t="shared" si="1"/>
        <v>46708.343131445261</v>
      </c>
      <c r="AL4" s="32">
        <f t="shared" si="2"/>
        <v>252174</v>
      </c>
      <c r="AM4" s="32">
        <f t="shared" si="16"/>
        <v>35453</v>
      </c>
      <c r="AN4" s="32">
        <f t="shared" si="17"/>
        <v>46708</v>
      </c>
      <c r="AO4" s="28" t="str">
        <f t="shared" si="18"/>
        <v>252174(+35453-46708)</v>
      </c>
    </row>
    <row r="5" spans="1:43" x14ac:dyDescent="0.2">
      <c r="A5" s="6" t="s">
        <v>30</v>
      </c>
      <c r="B5" s="9" t="s">
        <v>61</v>
      </c>
      <c r="C5" s="9" t="s">
        <v>65</v>
      </c>
      <c r="D5" s="7" t="s">
        <v>8</v>
      </c>
      <c r="E5" s="7" t="s">
        <v>22</v>
      </c>
      <c r="F5" s="12" t="s">
        <v>103</v>
      </c>
      <c r="G5" s="7">
        <v>0.02</v>
      </c>
      <c r="H5" s="7">
        <v>0.02</v>
      </c>
      <c r="I5" s="7">
        <f>F5+G5</f>
        <v>1.33</v>
      </c>
      <c r="J5" s="7">
        <f>F5-H5</f>
        <v>1.29</v>
      </c>
      <c r="K5" s="7" t="str">
        <f t="shared" si="4"/>
        <v>1.310000(1)</v>
      </c>
      <c r="L5" s="3" t="str">
        <f t="shared" si="5"/>
        <v>1.33(1)</v>
      </c>
      <c r="M5" s="3" t="str">
        <f t="shared" si="6"/>
        <v>1.29(1)</v>
      </c>
      <c r="O5" s="33" t="s">
        <v>108</v>
      </c>
      <c r="P5" s="34" t="s">
        <v>120</v>
      </c>
      <c r="Q5" s="34" t="s">
        <v>145</v>
      </c>
      <c r="R5" s="39">
        <v>7157.5</v>
      </c>
      <c r="S5" s="59" t="s">
        <v>187</v>
      </c>
      <c r="T5" s="56" t="str">
        <f t="shared" si="7"/>
        <v>4.1624</v>
      </c>
      <c r="U5" s="41" t="str">
        <f t="shared" si="8"/>
        <v>4.1558</v>
      </c>
      <c r="V5" s="41" t="str">
        <f t="shared" si="9"/>
        <v>4.1691</v>
      </c>
      <c r="W5" s="42">
        <f t="shared" si="10"/>
        <v>14534.496779183162</v>
      </c>
      <c r="X5" s="43">
        <f t="shared" si="11"/>
        <v>14315.285042150759</v>
      </c>
      <c r="Y5" s="43">
        <f t="shared" si="19"/>
        <v>14760.463663856444</v>
      </c>
      <c r="Z5" s="45">
        <f t="shared" si="12"/>
        <v>6.5999999999997172E-3</v>
      </c>
      <c r="AA5" s="45">
        <f t="shared" si="13"/>
        <v>6.7000000000003723E-3</v>
      </c>
      <c r="AB5" s="44">
        <f>$AC$27/W5/$AC$29</f>
        <v>0.25993239931599493</v>
      </c>
      <c r="AC5" s="45">
        <f>($AC$27+$AD$27)/X5/($AC$29-$AD$29)</f>
        <v>0.2646111681586335</v>
      </c>
      <c r="AD5" s="45">
        <f>($AC$27-$AD$27)/Y5/($AC$29+$AD$29)</f>
        <v>0.25527854083157137</v>
      </c>
      <c r="AE5" s="45">
        <f t="shared" si="14"/>
        <v>4.6787688426385698E-3</v>
      </c>
      <c r="AF5" s="45">
        <f t="shared" si="15"/>
        <v>4.6538584844235675E-3</v>
      </c>
      <c r="AH5" s="28"/>
      <c r="AI5" s="27"/>
      <c r="AJ5" s="30">
        <f t="shared" si="0"/>
        <v>219.21173703240311</v>
      </c>
      <c r="AK5" s="30">
        <f t="shared" si="1"/>
        <v>225.96688467328204</v>
      </c>
      <c r="AL5" s="32">
        <f t="shared" si="2"/>
        <v>14534</v>
      </c>
      <c r="AM5" s="32">
        <f t="shared" si="16"/>
        <v>219</v>
      </c>
      <c r="AN5" s="32">
        <f t="shared" si="17"/>
        <v>226</v>
      </c>
      <c r="AO5" s="28" t="str">
        <f t="shared" si="18"/>
        <v>14534(+219-226)</v>
      </c>
    </row>
    <row r="6" spans="1:43" x14ac:dyDescent="0.2">
      <c r="A6" s="13" t="s">
        <v>31</v>
      </c>
      <c r="B6" s="9" t="s">
        <v>59</v>
      </c>
      <c r="C6" s="9" t="s">
        <v>85</v>
      </c>
      <c r="D6" s="14" t="s">
        <v>49</v>
      </c>
      <c r="E6" s="14" t="s">
        <v>22</v>
      </c>
      <c r="F6" s="15">
        <v>0.14167523504664814</v>
      </c>
      <c r="G6" s="14">
        <v>2.8462045340599231E-2</v>
      </c>
      <c r="H6" s="14">
        <v>2.833417126544175E-2</v>
      </c>
      <c r="I6" s="14">
        <f>F6+G6</f>
        <v>0.17013728038724737</v>
      </c>
      <c r="J6" s="14">
        <f>F6-H6</f>
        <v>0.1133410637812064</v>
      </c>
      <c r="K6" s="14" t="str">
        <f t="shared" si="4"/>
        <v>0.141675(1)</v>
      </c>
      <c r="L6" s="3" t="str">
        <f t="shared" si="5"/>
        <v>0.170137(1)</v>
      </c>
      <c r="M6" s="3" t="str">
        <f t="shared" si="6"/>
        <v>0.113341(1)</v>
      </c>
      <c r="O6" s="33" t="s">
        <v>109</v>
      </c>
      <c r="P6" s="34" t="s">
        <v>164</v>
      </c>
      <c r="Q6" s="34" t="s">
        <v>146</v>
      </c>
      <c r="R6" s="39">
        <v>7703</v>
      </c>
      <c r="S6" s="59" t="s">
        <v>187</v>
      </c>
      <c r="T6" s="56" t="str">
        <f t="shared" si="7"/>
        <v>4.8264</v>
      </c>
      <c r="U6" s="41" t="str">
        <f t="shared" si="8"/>
        <v>4.7326</v>
      </c>
      <c r="V6" s="41" t="str">
        <f t="shared" si="9"/>
        <v>4.9438</v>
      </c>
      <c r="W6" s="42">
        <f t="shared" si="10"/>
        <v>67050.188016284112</v>
      </c>
      <c r="X6" s="43">
        <f t="shared" si="11"/>
        <v>54025.649909993212</v>
      </c>
      <c r="Y6" s="43">
        <f t="shared" si="19"/>
        <v>87861.780519760345</v>
      </c>
      <c r="Z6" s="45">
        <f t="shared" si="12"/>
        <v>9.3799999999999883E-2</v>
      </c>
      <c r="AA6" s="45">
        <f t="shared" si="13"/>
        <v>0.11740000000000084</v>
      </c>
      <c r="AB6" s="44">
        <f>$AC$27/W6/$AC$29</f>
        <v>5.6345652897291515E-2</v>
      </c>
      <c r="AC6" s="45">
        <f>($AC$27+$AD$27)/X6/($AC$29-$AD$29)</f>
        <v>7.0114553065777296E-2</v>
      </c>
      <c r="AD6" s="45">
        <f>($AC$27-$AD$27)/Y6/($AC$29+$AD$29)</f>
        <v>4.2885878294479388E-2</v>
      </c>
      <c r="AE6" s="45">
        <f t="shared" si="14"/>
        <v>1.3768900168485781E-2</v>
      </c>
      <c r="AF6" s="45">
        <f t="shared" si="15"/>
        <v>1.3459774602812127E-2</v>
      </c>
      <c r="AH6" s="28"/>
      <c r="AI6" s="27"/>
      <c r="AJ6" s="30">
        <f t="shared" si="0"/>
        <v>13024.5381062909</v>
      </c>
      <c r="AK6" s="30">
        <f t="shared" si="1"/>
        <v>20811.592503476233</v>
      </c>
      <c r="AL6" s="32">
        <f t="shared" si="2"/>
        <v>67050</v>
      </c>
      <c r="AM6" s="32">
        <f t="shared" si="16"/>
        <v>13025</v>
      </c>
      <c r="AN6" s="32">
        <f t="shared" si="17"/>
        <v>20812</v>
      </c>
      <c r="AO6" s="28" t="str">
        <f t="shared" si="18"/>
        <v>67050(+13025-20812)</v>
      </c>
    </row>
    <row r="7" spans="1:43" x14ac:dyDescent="0.2">
      <c r="A7" s="6" t="s">
        <v>31</v>
      </c>
      <c r="B7" s="9" t="s">
        <v>59</v>
      </c>
      <c r="C7" s="9" t="s">
        <v>85</v>
      </c>
      <c r="D7" s="7" t="s">
        <v>8</v>
      </c>
      <c r="E7" s="7" t="s">
        <v>22</v>
      </c>
      <c r="F7" s="8"/>
      <c r="G7" s="7"/>
      <c r="H7" s="7"/>
      <c r="I7" s="7"/>
      <c r="J7" s="7"/>
      <c r="K7" s="7"/>
      <c r="O7" s="33" t="s">
        <v>132</v>
      </c>
      <c r="P7" s="34" t="s">
        <v>181</v>
      </c>
      <c r="Q7" s="34" t="s">
        <v>184</v>
      </c>
      <c r="R7" s="39">
        <v>7797</v>
      </c>
      <c r="S7" s="58" t="s">
        <v>188</v>
      </c>
      <c r="T7" s="56" t="str">
        <f t="shared" si="7"/>
        <v>7.1846</v>
      </c>
      <c r="U7" s="41" t="str">
        <f t="shared" si="8"/>
        <v>7.0870</v>
      </c>
      <c r="V7" s="41" t="str">
        <f t="shared" si="9"/>
        <v>7.3060</v>
      </c>
      <c r="W7" s="42">
        <f t="shared" si="10"/>
        <v>15296779.272301439</v>
      </c>
      <c r="X7" s="43">
        <f t="shared" si="11"/>
        <v>12217996.601648733</v>
      </c>
      <c r="Y7" s="43">
        <f t="shared" si="19"/>
        <v>20230191.786782756</v>
      </c>
      <c r="Z7" s="45">
        <f t="shared" si="12"/>
        <v>9.7599999999999909E-2</v>
      </c>
      <c r="AA7" s="45">
        <f t="shared" si="13"/>
        <v>0.1214000000000004</v>
      </c>
      <c r="AB7" s="44">
        <f>$AC$27/W7/$AC$29</f>
        <v>2.4697922048889394E-4</v>
      </c>
      <c r="AC7" s="45">
        <f>($AC$27+$AD$27)/X7/($AC$29-$AD$29)</f>
        <v>3.1003317655336094E-4</v>
      </c>
      <c r="AD7" s="45">
        <f>($AC$27-$AD$27)/Y7/($AC$29+$AD$29)</f>
        <v>1.862577313067549E-4</v>
      </c>
      <c r="AE7" s="45">
        <f t="shared" si="14"/>
        <v>6.3053956064466996E-5</v>
      </c>
      <c r="AF7" s="45">
        <f t="shared" si="15"/>
        <v>6.0721489182139041E-5</v>
      </c>
      <c r="AH7" s="28"/>
      <c r="AI7" s="27"/>
      <c r="AJ7" s="30">
        <f t="shared" si="0"/>
        <v>3078782.6706527062</v>
      </c>
      <c r="AK7" s="30">
        <f t="shared" si="1"/>
        <v>4933412.5144813173</v>
      </c>
      <c r="AL7" s="32">
        <f t="shared" si="2"/>
        <v>15296779</v>
      </c>
      <c r="AM7" s="32">
        <f t="shared" si="16"/>
        <v>3078783</v>
      </c>
      <c r="AN7" s="32">
        <f t="shared" si="17"/>
        <v>4933413</v>
      </c>
      <c r="AO7" s="28" t="str">
        <f t="shared" si="18"/>
        <v>15296779(+3078783-4933413)</v>
      </c>
    </row>
    <row r="8" spans="1:43" x14ac:dyDescent="0.2">
      <c r="A8" s="13" t="s">
        <v>32</v>
      </c>
      <c r="B8" s="9" t="s">
        <v>62</v>
      </c>
      <c r="C8" s="9" t="s">
        <v>66</v>
      </c>
      <c r="D8" s="14" t="s">
        <v>49</v>
      </c>
      <c r="E8" s="14" t="s">
        <v>22</v>
      </c>
      <c r="F8" s="15">
        <v>5.4526200000000003E-4</v>
      </c>
      <c r="G8" s="14">
        <v>1.10184E-4</v>
      </c>
      <c r="H8" s="14">
        <v>1.05504E-4</v>
      </c>
      <c r="I8" s="14">
        <f t="shared" ref="I8:I14" si="20">F8+G8</f>
        <v>6.5544600000000007E-4</v>
      </c>
      <c r="J8" s="14">
        <f t="shared" ref="J8:J14" si="21">F8-H8</f>
        <v>4.3975800000000005E-4</v>
      </c>
      <c r="K8" s="14" t="str">
        <f t="shared" si="4"/>
        <v>0.000545(1)</v>
      </c>
      <c r="L8" s="3" t="str">
        <f t="shared" si="5"/>
        <v>0.000655(1)</v>
      </c>
      <c r="M8" s="3" t="str">
        <f t="shared" si="6"/>
        <v>0.000439(1)</v>
      </c>
      <c r="O8" s="33" t="s">
        <v>110</v>
      </c>
      <c r="P8" s="34" t="s">
        <v>165</v>
      </c>
      <c r="Q8" s="34" t="s">
        <v>147</v>
      </c>
      <c r="R8" s="39">
        <v>7887</v>
      </c>
      <c r="S8" s="59" t="s">
        <v>187</v>
      </c>
      <c r="T8" s="56" t="str">
        <f t="shared" si="7"/>
        <v>5.2884</v>
      </c>
      <c r="U8" s="41" t="str">
        <f t="shared" si="8"/>
        <v>5.1874</v>
      </c>
      <c r="V8" s="41" t="str">
        <f t="shared" si="9"/>
        <v>5.4000</v>
      </c>
      <c r="W8" s="42">
        <f t="shared" si="10"/>
        <v>194267.43230314931</v>
      </c>
      <c r="X8" s="43">
        <f t="shared" si="11"/>
        <v>153957.19856927084</v>
      </c>
      <c r="Y8" s="43">
        <f t="shared" si="19"/>
        <v>251188.64315095844</v>
      </c>
      <c r="Z8" s="45">
        <f t="shared" si="12"/>
        <v>0.10099999999999998</v>
      </c>
      <c r="AA8" s="45">
        <f t="shared" si="13"/>
        <v>0.11160000000000014</v>
      </c>
      <c r="AB8" s="44">
        <f>$AC$27/W8/$AC$29</f>
        <v>1.9447349336291372E-2</v>
      </c>
      <c r="AC8" s="45">
        <f>($AC$27+$AD$27)/X8/($AC$29-$AD$29)</f>
        <v>2.4604138895285083E-2</v>
      </c>
      <c r="AD8" s="45">
        <f>($AC$27-$AD$27)/Y8/($AC$29+$AD$29)</f>
        <v>1.5000796130110889E-2</v>
      </c>
      <c r="AE8" s="45">
        <f t="shared" si="14"/>
        <v>5.1567895589937109E-3</v>
      </c>
      <c r="AF8" s="45">
        <f t="shared" si="15"/>
        <v>4.4465532061804831E-3</v>
      </c>
      <c r="AH8" s="28"/>
      <c r="AI8" s="27"/>
      <c r="AJ8" s="30">
        <f t="shared" si="0"/>
        <v>40310.233733878471</v>
      </c>
      <c r="AK8" s="30">
        <f t="shared" si="1"/>
        <v>56921.210847809125</v>
      </c>
      <c r="AL8" s="32">
        <f t="shared" si="2"/>
        <v>194267</v>
      </c>
      <c r="AM8" s="32">
        <f t="shared" si="16"/>
        <v>40310</v>
      </c>
      <c r="AN8" s="32">
        <f t="shared" si="17"/>
        <v>56921</v>
      </c>
      <c r="AO8" s="28" t="str">
        <f t="shared" si="18"/>
        <v>194267(+40310-56921)</v>
      </c>
    </row>
    <row r="9" spans="1:43" x14ac:dyDescent="0.2">
      <c r="A9" s="6" t="s">
        <v>33</v>
      </c>
      <c r="B9" s="9" t="s">
        <v>59</v>
      </c>
      <c r="C9" s="9" t="s">
        <v>90</v>
      </c>
      <c r="D9" s="7" t="s">
        <v>8</v>
      </c>
      <c r="E9" s="7" t="s">
        <v>22</v>
      </c>
      <c r="F9" s="8">
        <v>3.7739452E-2</v>
      </c>
      <c r="G9" s="7">
        <v>8.4936909999999994E-3</v>
      </c>
      <c r="H9" s="7">
        <v>7.0699049999999996E-3</v>
      </c>
      <c r="I9" s="7">
        <f t="shared" si="20"/>
        <v>4.6233142999999997E-2</v>
      </c>
      <c r="J9" s="7">
        <f t="shared" si="21"/>
        <v>3.0669546999999998E-2</v>
      </c>
      <c r="K9" s="7" t="str">
        <f t="shared" si="4"/>
        <v>0.037739(1)</v>
      </c>
      <c r="L9" s="3" t="str">
        <f t="shared" si="5"/>
        <v>0.046233(1)</v>
      </c>
      <c r="M9" s="3" t="str">
        <f t="shared" si="6"/>
        <v>0.030669(1)</v>
      </c>
      <c r="O9" s="33" t="s">
        <v>111</v>
      </c>
      <c r="P9" s="34" t="s">
        <v>166</v>
      </c>
      <c r="Q9" s="34" t="s">
        <v>148</v>
      </c>
      <c r="R9" s="39">
        <v>7905</v>
      </c>
      <c r="S9" s="59" t="s">
        <v>188</v>
      </c>
      <c r="T9" s="56" t="str">
        <f t="shared" si="7"/>
        <v>6.4263</v>
      </c>
      <c r="U9" s="41" t="str">
        <f t="shared" si="8"/>
        <v>6.3072</v>
      </c>
      <c r="V9" s="41" t="str">
        <f t="shared" si="9"/>
        <v>6.5842</v>
      </c>
      <c r="W9" s="42">
        <f t="shared" si="10"/>
        <v>2668701.5016434127</v>
      </c>
      <c r="X9" s="43">
        <f t="shared" si="11"/>
        <v>2028616.7169662968</v>
      </c>
      <c r="Y9" s="43">
        <f t="shared" si="19"/>
        <v>3838839.899027694</v>
      </c>
      <c r="Z9" s="45">
        <f t="shared" si="12"/>
        <v>0.11910000000000043</v>
      </c>
      <c r="AA9" s="45">
        <f t="shared" si="13"/>
        <v>0.15789999999999971</v>
      </c>
      <c r="AB9" s="44">
        <f>$AC$27/W9/$AC$29</f>
        <v>1.4156647411998527E-3</v>
      </c>
      <c r="AC9" s="45">
        <f>($AC$27+$AD$27)/X9/($AC$29-$AD$29)</f>
        <v>1.8672745156078977E-3</v>
      </c>
      <c r="AD9" s="45">
        <f>($AC$27-$AD$27)/Y9/($AC$29+$AD$29)</f>
        <v>9.8155425212212519E-4</v>
      </c>
      <c r="AE9" s="45">
        <f t="shared" si="14"/>
        <v>4.5160977440804502E-4</v>
      </c>
      <c r="AF9" s="45">
        <f t="shared" si="15"/>
        <v>4.3411048907772746E-4</v>
      </c>
      <c r="AH9" s="28"/>
      <c r="AI9" s="27"/>
      <c r="AJ9" s="30">
        <f t="shared" si="0"/>
        <v>640084.78467711597</v>
      </c>
      <c r="AK9" s="30">
        <f t="shared" si="1"/>
        <v>1170138.3973842813</v>
      </c>
      <c r="AL9" s="32">
        <f t="shared" si="2"/>
        <v>2668702</v>
      </c>
      <c r="AM9" s="32">
        <f t="shared" si="16"/>
        <v>640085</v>
      </c>
      <c r="AN9" s="32">
        <f t="shared" si="17"/>
        <v>1170138</v>
      </c>
      <c r="AO9" s="28" t="str">
        <f t="shared" si="18"/>
        <v>2668702(+640085-1170138)</v>
      </c>
    </row>
    <row r="10" spans="1:43" x14ac:dyDescent="0.2">
      <c r="A10" s="13" t="s">
        <v>34</v>
      </c>
      <c r="B10" s="9" t="s">
        <v>63</v>
      </c>
      <c r="C10" s="9" t="s">
        <v>86</v>
      </c>
      <c r="D10" s="14" t="s">
        <v>49</v>
      </c>
      <c r="E10" s="14" t="s">
        <v>22</v>
      </c>
      <c r="F10" s="15">
        <v>2.677413E-3</v>
      </c>
      <c r="G10" s="14">
        <v>7.37343E-4</v>
      </c>
      <c r="H10" s="14">
        <v>7.1298200000000003E-4</v>
      </c>
      <c r="I10" s="14">
        <f t="shared" si="20"/>
        <v>3.4147560000000001E-3</v>
      </c>
      <c r="J10" s="14">
        <f t="shared" si="21"/>
        <v>1.964431E-3</v>
      </c>
      <c r="K10" s="14" t="str">
        <f t="shared" si="4"/>
        <v>0.002677(1)</v>
      </c>
      <c r="L10" s="3" t="str">
        <f t="shared" si="5"/>
        <v>0.003414(1)</v>
      </c>
      <c r="M10" s="3" t="str">
        <f t="shared" si="6"/>
        <v>0.001964(1)</v>
      </c>
      <c r="O10" s="33" t="s">
        <v>112</v>
      </c>
      <c r="P10" s="34" t="s">
        <v>167</v>
      </c>
      <c r="Q10" s="34" t="s">
        <v>149</v>
      </c>
      <c r="R10" s="39">
        <v>8017</v>
      </c>
      <c r="S10" s="59" t="s">
        <v>187</v>
      </c>
      <c r="T10" s="56" t="str">
        <f t="shared" si="7"/>
        <v>4.8276</v>
      </c>
      <c r="U10" s="41" t="str">
        <f t="shared" si="8"/>
        <v>4.7323</v>
      </c>
      <c r="V10" s="41" t="str">
        <f t="shared" si="9"/>
        <v>4.9375</v>
      </c>
      <c r="W10" s="42">
        <f t="shared" si="10"/>
        <v>67235.710723432028</v>
      </c>
      <c r="X10" s="43">
        <f t="shared" si="11"/>
        <v>53988.343199921321</v>
      </c>
      <c r="Y10" s="43">
        <f t="shared" si="19"/>
        <v>86596.432336006605</v>
      </c>
      <c r="Z10" s="45">
        <f t="shared" si="12"/>
        <v>9.529999999999994E-2</v>
      </c>
      <c r="AA10" s="45">
        <f t="shared" si="13"/>
        <v>0.10989999999999966</v>
      </c>
      <c r="AB10" s="44">
        <f>$AC$27/W10/$AC$29</f>
        <v>5.6190178998837145E-2</v>
      </c>
      <c r="AC10" s="45">
        <f>($AC$27+$AD$27)/X10/($AC$29-$AD$29)</f>
        <v>7.0163003215346784E-2</v>
      </c>
      <c r="AD10" s="45">
        <f>($AC$27-$AD$27)/Y10/($AC$29+$AD$29)</f>
        <v>4.3512527300041716E-2</v>
      </c>
      <c r="AE10" s="45">
        <f t="shared" si="14"/>
        <v>1.3972824216509638E-2</v>
      </c>
      <c r="AF10" s="45">
        <f t="shared" si="15"/>
        <v>1.2677651698795429E-2</v>
      </c>
      <c r="AH10" s="28"/>
      <c r="AI10" s="27"/>
      <c r="AJ10" s="30">
        <f t="shared" si="0"/>
        <v>13247.367523510708</v>
      </c>
      <c r="AK10" s="30">
        <f t="shared" si="1"/>
        <v>19360.721612574576</v>
      </c>
      <c r="AL10" s="32">
        <f t="shared" si="2"/>
        <v>67236</v>
      </c>
      <c r="AM10" s="32">
        <f t="shared" si="16"/>
        <v>13247</v>
      </c>
      <c r="AN10" s="32">
        <f t="shared" si="17"/>
        <v>19361</v>
      </c>
      <c r="AO10" s="28" t="str">
        <f t="shared" si="18"/>
        <v>67236(+13247-19361)</v>
      </c>
    </row>
    <row r="11" spans="1:43" x14ac:dyDescent="0.2">
      <c r="A11" s="6" t="s">
        <v>35</v>
      </c>
      <c r="B11" s="9"/>
      <c r="C11" s="9" t="s">
        <v>99</v>
      </c>
      <c r="D11" s="7" t="s">
        <v>8</v>
      </c>
      <c r="E11" s="7" t="s">
        <v>22</v>
      </c>
      <c r="F11" s="8">
        <v>9.0033088999999997E-2</v>
      </c>
      <c r="G11" s="7">
        <v>1.8490069000000001E-2</v>
      </c>
      <c r="H11" s="7">
        <v>1.6563399999999999E-2</v>
      </c>
      <c r="I11" s="7">
        <f t="shared" si="20"/>
        <v>0.10852315799999999</v>
      </c>
      <c r="J11" s="7">
        <f t="shared" si="21"/>
        <v>7.3469689000000005E-2</v>
      </c>
      <c r="K11" s="7" t="str">
        <f t="shared" si="4"/>
        <v>0.090033(1)</v>
      </c>
      <c r="L11" s="3" t="str">
        <f t="shared" si="5"/>
        <v>0.108523(1)</v>
      </c>
      <c r="M11" s="3" t="str">
        <f t="shared" si="6"/>
        <v>0.073469(1)</v>
      </c>
      <c r="O11" s="33" t="s">
        <v>133</v>
      </c>
      <c r="P11" s="34" t="s">
        <v>168</v>
      </c>
      <c r="Q11" s="34" t="s">
        <v>150</v>
      </c>
      <c r="R11" s="39">
        <v>8024</v>
      </c>
      <c r="S11" s="59" t="s">
        <v>188</v>
      </c>
      <c r="T11" s="56" t="str">
        <f t="shared" si="7"/>
        <v>6.2006</v>
      </c>
      <c r="U11" s="41" t="str">
        <f t="shared" si="8"/>
        <v>6.0737</v>
      </c>
      <c r="V11" s="41" t="str">
        <f t="shared" si="9"/>
        <v>6.3732</v>
      </c>
      <c r="W11" s="42">
        <f t="shared" si="10"/>
        <v>1587084.3165508688</v>
      </c>
      <c r="X11" s="43">
        <f t="shared" si="11"/>
        <v>1184949.9309761776</v>
      </c>
      <c r="Y11" s="43">
        <f t="shared" si="19"/>
        <v>2361565.5239177174</v>
      </c>
      <c r="Z11" s="45">
        <f t="shared" si="12"/>
        <v>0.12690000000000001</v>
      </c>
      <c r="AA11" s="45">
        <f t="shared" si="13"/>
        <v>0.17260000000000009</v>
      </c>
      <c r="AB11" s="44">
        <f>$AC$27/W11/$AC$29</f>
        <v>2.3804574093922054E-3</v>
      </c>
      <c r="AC11" s="45">
        <f>($AC$27+$AD$27)/X11/($AC$29-$AD$29)</f>
        <v>3.1967462915557399E-3</v>
      </c>
      <c r="AD11" s="45">
        <f>($AC$27-$AD$27)/Y11/($AC$29+$AD$29)</f>
        <v>1.5955642932387209E-3</v>
      </c>
      <c r="AE11" s="45">
        <f t="shared" si="14"/>
        <v>8.1628888216353458E-4</v>
      </c>
      <c r="AF11" s="45">
        <f t="shared" si="15"/>
        <v>7.8489311615348445E-4</v>
      </c>
      <c r="AH11" s="28"/>
      <c r="AI11" s="27"/>
      <c r="AJ11" s="30">
        <f t="shared" si="0"/>
        <v>402134.38557469123</v>
      </c>
      <c r="AK11" s="30">
        <f t="shared" si="1"/>
        <v>774481.2073668486</v>
      </c>
      <c r="AL11" s="32">
        <f t="shared" si="2"/>
        <v>1587084</v>
      </c>
      <c r="AM11" s="32">
        <f t="shared" si="16"/>
        <v>402134</v>
      </c>
      <c r="AN11" s="32">
        <f t="shared" si="17"/>
        <v>774481</v>
      </c>
      <c r="AO11" s="28" t="str">
        <f t="shared" si="18"/>
        <v>1587084(+402134-774481)</v>
      </c>
    </row>
    <row r="12" spans="1:43" x14ac:dyDescent="0.2">
      <c r="A12" s="16" t="s">
        <v>36</v>
      </c>
      <c r="B12" s="9" t="s">
        <v>59</v>
      </c>
      <c r="C12" s="9" t="s">
        <v>67</v>
      </c>
      <c r="D12" s="17" t="s">
        <v>48</v>
      </c>
      <c r="E12" s="17" t="s">
        <v>52</v>
      </c>
      <c r="F12" s="18">
        <v>3.4050780000000002E-3</v>
      </c>
      <c r="G12" s="17">
        <v>7.3778299999999999E-4</v>
      </c>
      <c r="H12" s="17">
        <v>6.8897100000000003E-4</v>
      </c>
      <c r="I12" s="17">
        <f t="shared" si="20"/>
        <v>4.1428610000000003E-3</v>
      </c>
      <c r="J12" s="17">
        <f t="shared" si="21"/>
        <v>2.7161070000000002E-3</v>
      </c>
      <c r="K12" s="17" t="str">
        <f t="shared" si="4"/>
        <v>0.003405(1)</v>
      </c>
      <c r="L12" s="3" t="str">
        <f t="shared" si="5"/>
        <v>0.004142(1)</v>
      </c>
      <c r="M12" s="3" t="str">
        <f t="shared" si="6"/>
        <v>0.002716(1)</v>
      </c>
      <c r="O12" s="33" t="s">
        <v>134</v>
      </c>
      <c r="P12" s="34" t="s">
        <v>169</v>
      </c>
      <c r="Q12" s="34" t="s">
        <v>151</v>
      </c>
      <c r="R12" s="39">
        <v>8275</v>
      </c>
      <c r="S12" s="58" t="s">
        <v>189</v>
      </c>
      <c r="T12" s="56" t="str">
        <f t="shared" si="7"/>
        <v>5.7606</v>
      </c>
      <c r="U12" s="41" t="str">
        <f t="shared" si="8"/>
        <v>5.6157</v>
      </c>
      <c r="V12" s="41" t="str">
        <f t="shared" si="9"/>
        <v>5.9718</v>
      </c>
      <c r="W12" s="42">
        <f t="shared" si="10"/>
        <v>576235.48640942655</v>
      </c>
      <c r="X12" s="43">
        <f t="shared" si="11"/>
        <v>412762.27740835014</v>
      </c>
      <c r="Y12" s="43">
        <f t="shared" si="19"/>
        <v>937130.34306760551</v>
      </c>
      <c r="Z12" s="45">
        <f t="shared" si="12"/>
        <v>0.14489999999999981</v>
      </c>
      <c r="AA12" s="45">
        <f t="shared" si="13"/>
        <v>0.21119999999999983</v>
      </c>
      <c r="AB12" s="44">
        <f>$AC$27/W12/$AC$29</f>
        <v>6.5563241240220093E-3</v>
      </c>
      <c r="AC12" s="45">
        <f>($AC$27+$AD$27)/X12/($AC$29-$AD$29)</f>
        <v>9.177157179457638E-3</v>
      </c>
      <c r="AD12" s="45">
        <f>($AC$27-$AD$27)/Y12/($AC$29+$AD$29)</f>
        <v>4.0208170122551174E-3</v>
      </c>
      <c r="AE12" s="45">
        <f t="shared" si="14"/>
        <v>2.6208330554356287E-3</v>
      </c>
      <c r="AF12" s="45">
        <f t="shared" si="15"/>
        <v>2.535507111766892E-3</v>
      </c>
      <c r="AH12" s="28"/>
      <c r="AI12" s="27"/>
      <c r="AJ12" s="30">
        <f t="shared" si="0"/>
        <v>163473.20900107641</v>
      </c>
      <c r="AK12" s="30">
        <f t="shared" si="1"/>
        <v>360894.85665817896</v>
      </c>
      <c r="AL12" s="32">
        <f t="shared" si="2"/>
        <v>576235</v>
      </c>
      <c r="AM12" s="32">
        <f t="shared" si="16"/>
        <v>163473</v>
      </c>
      <c r="AN12" s="32">
        <f t="shared" si="17"/>
        <v>360895</v>
      </c>
      <c r="AO12" s="28" t="str">
        <f t="shared" si="18"/>
        <v>576235(+163473-360895)</v>
      </c>
    </row>
    <row r="13" spans="1:43" x14ac:dyDescent="0.2">
      <c r="A13" s="6" t="s">
        <v>37</v>
      </c>
      <c r="B13" s="9" t="s">
        <v>59</v>
      </c>
      <c r="C13" s="9" t="s">
        <v>68</v>
      </c>
      <c r="D13" s="7" t="s">
        <v>8</v>
      </c>
      <c r="E13" s="7" t="s">
        <v>22</v>
      </c>
      <c r="F13" s="8">
        <v>8.0630949999999993E-3</v>
      </c>
      <c r="G13" s="7">
        <v>1.6381270000000001E-3</v>
      </c>
      <c r="H13" s="7">
        <v>1.496477E-3</v>
      </c>
      <c r="I13" s="7">
        <f t="shared" si="20"/>
        <v>9.7012219999999989E-3</v>
      </c>
      <c r="J13" s="7">
        <f t="shared" si="21"/>
        <v>6.5666179999999998E-3</v>
      </c>
      <c r="K13" s="7" t="str">
        <f t="shared" si="4"/>
        <v>0.008063(1)</v>
      </c>
      <c r="L13" s="3" t="str">
        <f t="shared" si="5"/>
        <v>0.009701(1)</v>
      </c>
      <c r="M13" s="3" t="str">
        <f t="shared" si="6"/>
        <v>0.006566(1)</v>
      </c>
      <c r="O13" s="33" t="s">
        <v>113</v>
      </c>
      <c r="P13" s="34" t="s">
        <v>170</v>
      </c>
      <c r="Q13" s="34" t="s">
        <v>152</v>
      </c>
      <c r="R13" s="39">
        <v>8418</v>
      </c>
      <c r="S13" s="59" t="s">
        <v>187</v>
      </c>
      <c r="T13" s="56" t="str">
        <f t="shared" si="7"/>
        <v>4.5260</v>
      </c>
      <c r="U13" s="41" t="str">
        <f t="shared" si="8"/>
        <v>4.4323</v>
      </c>
      <c r="V13" s="41" t="str">
        <f t="shared" si="9"/>
        <v>4.6364</v>
      </c>
      <c r="W13" s="42">
        <f t="shared" si="10"/>
        <v>33573.761424295473</v>
      </c>
      <c r="X13" s="43">
        <f t="shared" si="11"/>
        <v>27058.268376488257</v>
      </c>
      <c r="Y13" s="43">
        <f t="shared" si="19"/>
        <v>43291.237450282693</v>
      </c>
      <c r="Z13" s="45">
        <f t="shared" si="12"/>
        <v>9.3700000000000117E-2</v>
      </c>
      <c r="AA13" s="45">
        <f t="shared" si="13"/>
        <v>0.11040000000000028</v>
      </c>
      <c r="AB13" s="44">
        <f>$AC$27/W13/$AC$29</f>
        <v>0.11252795219810433</v>
      </c>
      <c r="AC13" s="45">
        <f>($AC$27+$AD$27)/X13/($AC$29-$AD$29)</f>
        <v>0.13999359622062213</v>
      </c>
      <c r="AD13" s="45">
        <f>($AC$27-$AD$27)/Y13/($AC$29+$AD$29)</f>
        <v>8.7039083381112659E-2</v>
      </c>
      <c r="AE13" s="45">
        <f t="shared" si="14"/>
        <v>2.7465644022517804E-2</v>
      </c>
      <c r="AF13" s="45">
        <f t="shared" si="15"/>
        <v>2.5488868816991667E-2</v>
      </c>
      <c r="AH13" s="28"/>
      <c r="AI13" s="27"/>
      <c r="AJ13" s="30">
        <f t="shared" si="0"/>
        <v>6515.4930478072165</v>
      </c>
      <c r="AK13" s="30">
        <f t="shared" si="1"/>
        <v>9717.4760259872201</v>
      </c>
      <c r="AL13" s="32">
        <f t="shared" si="2"/>
        <v>33574</v>
      </c>
      <c r="AM13" s="32">
        <f t="shared" si="16"/>
        <v>6515</v>
      </c>
      <c r="AN13" s="32">
        <f t="shared" si="17"/>
        <v>9717</v>
      </c>
      <c r="AO13" s="28" t="str">
        <f t="shared" si="18"/>
        <v>33574(+6515-9717)</v>
      </c>
    </row>
    <row r="14" spans="1:43" x14ac:dyDescent="0.2">
      <c r="A14" s="19" t="s">
        <v>38</v>
      </c>
      <c r="B14" s="9" t="s">
        <v>59</v>
      </c>
      <c r="C14" s="9" t="s">
        <v>87</v>
      </c>
      <c r="D14" s="20" t="s">
        <v>50</v>
      </c>
      <c r="E14" s="20" t="s">
        <v>53</v>
      </c>
      <c r="F14" s="21">
        <v>9.4607896999999996E-2</v>
      </c>
      <c r="G14" s="20">
        <v>1.3369621E-2</v>
      </c>
      <c r="H14" s="20">
        <v>1.0835856E-2</v>
      </c>
      <c r="I14" s="20">
        <f t="shared" si="20"/>
        <v>0.10797751799999999</v>
      </c>
      <c r="J14" s="20">
        <f t="shared" si="21"/>
        <v>8.3772040999999992E-2</v>
      </c>
      <c r="K14" s="20" t="str">
        <f t="shared" si="4"/>
        <v>0.094607(1)</v>
      </c>
      <c r="L14" s="3" t="str">
        <f t="shared" si="5"/>
        <v>0.107977(1)</v>
      </c>
      <c r="M14" s="3" t="str">
        <f t="shared" si="6"/>
        <v>0.083772(1)</v>
      </c>
      <c r="O14" s="33" t="s">
        <v>114</v>
      </c>
      <c r="P14" s="34" t="s">
        <v>171</v>
      </c>
      <c r="Q14" s="34" t="s">
        <v>153</v>
      </c>
      <c r="R14" s="39">
        <v>8557</v>
      </c>
      <c r="S14" s="59" t="s">
        <v>187</v>
      </c>
      <c r="T14" s="56" t="str">
        <f t="shared" si="7"/>
        <v>5.2080</v>
      </c>
      <c r="U14" s="41" t="str">
        <f t="shared" si="8"/>
        <v>5.1236</v>
      </c>
      <c r="V14" s="41" t="str">
        <f t="shared" si="9"/>
        <v>5.3077</v>
      </c>
      <c r="W14" s="42">
        <f t="shared" si="10"/>
        <v>161435.85568264898</v>
      </c>
      <c r="X14" s="43">
        <f t="shared" si="11"/>
        <v>132922.95883156831</v>
      </c>
      <c r="Y14" s="43">
        <f t="shared" si="19"/>
        <v>203095.35932282265</v>
      </c>
      <c r="Z14" s="45">
        <f t="shared" si="12"/>
        <v>8.4400000000000475E-2</v>
      </c>
      <c r="AA14" s="45">
        <f t="shared" si="13"/>
        <v>9.9699999999999456E-2</v>
      </c>
      <c r="AB14" s="44">
        <f>$AC$27/W14/$AC$29</f>
        <v>2.3402400939296013E-2</v>
      </c>
      <c r="AC14" s="45">
        <f>($AC$27+$AD$27)/X14/($AC$29-$AD$29)</f>
        <v>2.849759237098554E-2</v>
      </c>
      <c r="AD14" s="45">
        <f>($AC$27-$AD$27)/Y14/($AC$29+$AD$29)</f>
        <v>1.8553007014391557E-2</v>
      </c>
      <c r="AE14" s="45">
        <f t="shared" si="14"/>
        <v>5.0951914316895268E-3</v>
      </c>
      <c r="AF14" s="45">
        <f t="shared" si="15"/>
        <v>4.8493939249044556E-3</v>
      </c>
      <c r="AH14" s="28"/>
      <c r="AI14" s="27"/>
      <c r="AJ14" s="30">
        <f t="shared" si="0"/>
        <v>28512.896851080674</v>
      </c>
      <c r="AK14" s="30">
        <f t="shared" si="1"/>
        <v>41659.503640173672</v>
      </c>
      <c r="AL14" s="32">
        <f t="shared" si="2"/>
        <v>161436</v>
      </c>
      <c r="AM14" s="32">
        <f t="shared" si="16"/>
        <v>28513</v>
      </c>
      <c r="AN14" s="32">
        <f t="shared" si="17"/>
        <v>41660</v>
      </c>
      <c r="AO14" s="28" t="str">
        <f t="shared" si="18"/>
        <v>161436(+28513-41660)</v>
      </c>
    </row>
    <row r="15" spans="1:43" x14ac:dyDescent="0.2">
      <c r="A15" s="13" t="s">
        <v>38</v>
      </c>
      <c r="B15" s="9" t="s">
        <v>59</v>
      </c>
      <c r="C15" s="9" t="s">
        <v>87</v>
      </c>
      <c r="D15" s="14" t="s">
        <v>49</v>
      </c>
      <c r="E15" s="14" t="s">
        <v>22</v>
      </c>
      <c r="F15" s="15"/>
      <c r="G15" s="14"/>
      <c r="H15" s="14"/>
      <c r="I15" s="14"/>
      <c r="J15" s="14"/>
      <c r="K15" s="14"/>
      <c r="O15" s="33" t="s">
        <v>135</v>
      </c>
      <c r="P15" s="34" t="s">
        <v>172</v>
      </c>
      <c r="Q15" s="34" t="s">
        <v>154</v>
      </c>
      <c r="R15" s="39">
        <v>8669</v>
      </c>
      <c r="S15" s="58" t="s">
        <v>188</v>
      </c>
      <c r="T15" s="56" t="str">
        <f t="shared" si="7"/>
        <v>6.0350</v>
      </c>
      <c r="U15" s="41" t="str">
        <f t="shared" si="8"/>
        <v>5.9013</v>
      </c>
      <c r="V15" s="41" t="str">
        <f t="shared" si="9"/>
        <v>6.2146</v>
      </c>
      <c r="W15" s="42">
        <f t="shared" si="10"/>
        <v>1083926.9140212047</v>
      </c>
      <c r="X15" s="43">
        <f t="shared" si="11"/>
        <v>796709.50780865015</v>
      </c>
      <c r="Y15" s="43">
        <f t="shared" si="19"/>
        <v>1639079.4298229434</v>
      </c>
      <c r="Z15" s="45">
        <f t="shared" si="12"/>
        <v>0.13370000000000015</v>
      </c>
      <c r="AA15" s="45">
        <f t="shared" si="13"/>
        <v>0.17959999999999976</v>
      </c>
      <c r="AB15" s="44">
        <f>$AC$27/W15/$AC$29</f>
        <v>3.4854625083972886E-3</v>
      </c>
      <c r="AC15" s="45">
        <f>($AC$27+$AD$27)/X15/($AC$29-$AD$29)</f>
        <v>4.7545363277340293E-3</v>
      </c>
      <c r="AD15" s="45">
        <f>($AC$27-$AD$27)/Y15/($AC$29+$AD$29)</f>
        <v>2.2988694492455026E-3</v>
      </c>
      <c r="AE15" s="45">
        <f t="shared" si="14"/>
        <v>1.2690738193367407E-3</v>
      </c>
      <c r="AF15" s="45">
        <f t="shared" si="15"/>
        <v>1.186593059151786E-3</v>
      </c>
      <c r="AH15" s="28"/>
      <c r="AI15" s="27"/>
      <c r="AJ15" s="30">
        <f t="shared" si="0"/>
        <v>287217.40621255455</v>
      </c>
      <c r="AK15" s="30">
        <f t="shared" si="1"/>
        <v>555152.51580173871</v>
      </c>
      <c r="AL15" s="32">
        <f t="shared" si="2"/>
        <v>1083927</v>
      </c>
      <c r="AM15" s="32">
        <f t="shared" si="16"/>
        <v>287217</v>
      </c>
      <c r="AN15" s="32">
        <f t="shared" si="17"/>
        <v>555153</v>
      </c>
      <c r="AO15" s="28" t="str">
        <f t="shared" si="18"/>
        <v>1083927(+287217-555153)</v>
      </c>
    </row>
    <row r="16" spans="1:43" x14ac:dyDescent="0.2">
      <c r="A16" s="16" t="s">
        <v>38</v>
      </c>
      <c r="B16" s="9" t="s">
        <v>59</v>
      </c>
      <c r="C16" s="9" t="s">
        <v>87</v>
      </c>
      <c r="D16" s="17" t="s">
        <v>48</v>
      </c>
      <c r="E16" s="17" t="s">
        <v>52</v>
      </c>
      <c r="F16" s="18"/>
      <c r="G16" s="17"/>
      <c r="H16" s="17"/>
      <c r="I16" s="17"/>
      <c r="J16" s="17"/>
      <c r="K16" s="17"/>
      <c r="O16" s="33" t="s">
        <v>136</v>
      </c>
      <c r="P16" s="34" t="s">
        <v>173</v>
      </c>
      <c r="Q16" s="34" t="s">
        <v>155</v>
      </c>
      <c r="R16" s="39">
        <v>8708</v>
      </c>
      <c r="S16" s="59" t="s">
        <v>189</v>
      </c>
      <c r="T16" s="56" t="str">
        <f t="shared" si="7"/>
        <v>5.8195</v>
      </c>
      <c r="U16" s="41" t="str">
        <f t="shared" si="8"/>
        <v>5.6922</v>
      </c>
      <c r="V16" s="41" t="str">
        <f t="shared" si="9"/>
        <v>5.9793</v>
      </c>
      <c r="W16" s="42">
        <f t="shared" si="10"/>
        <v>659933.23426356504</v>
      </c>
      <c r="X16" s="43">
        <f t="shared" si="11"/>
        <v>492266.18044433568</v>
      </c>
      <c r="Y16" s="43">
        <f t="shared" si="19"/>
        <v>953454.55967245775</v>
      </c>
      <c r="Z16" s="45">
        <f t="shared" si="12"/>
        <v>0.12729999999999997</v>
      </c>
      <c r="AA16" s="45">
        <f t="shared" si="13"/>
        <v>0.15980000000000061</v>
      </c>
      <c r="AB16" s="44">
        <f>$AC$27/W16/$AC$29</f>
        <v>5.7248012746010943E-3</v>
      </c>
      <c r="AC16" s="45">
        <f>($AC$27+$AD$27)/X16/($AC$29-$AD$29)</f>
        <v>7.6949919535568454E-3</v>
      </c>
      <c r="AD16" s="45">
        <f>($AC$27-$AD$27)/Y16/($AC$29+$AD$29)</f>
        <v>3.9519760935446584E-3</v>
      </c>
      <c r="AE16" s="45">
        <f t="shared" si="14"/>
        <v>1.9701906789557511E-3</v>
      </c>
      <c r="AF16" s="45">
        <f t="shared" si="15"/>
        <v>1.7728251810564359E-3</v>
      </c>
      <c r="AH16" s="28"/>
      <c r="AI16" s="27"/>
      <c r="AJ16" s="30">
        <f t="shared" si="0"/>
        <v>167667.05381922936</v>
      </c>
      <c r="AK16" s="30">
        <f t="shared" si="1"/>
        <v>293521.32540889271</v>
      </c>
      <c r="AL16" s="32">
        <f t="shared" si="2"/>
        <v>659933</v>
      </c>
      <c r="AM16" s="32">
        <f t="shared" si="16"/>
        <v>167667</v>
      </c>
      <c r="AN16" s="32">
        <f t="shared" si="17"/>
        <v>293521</v>
      </c>
      <c r="AO16" s="28" t="str">
        <f t="shared" si="18"/>
        <v>659933(+167667-293521)</v>
      </c>
    </row>
    <row r="17" spans="1:43" x14ac:dyDescent="0.2">
      <c r="A17" s="6" t="s">
        <v>38</v>
      </c>
      <c r="B17" s="9" t="s">
        <v>59</v>
      </c>
      <c r="C17" s="9" t="s">
        <v>87</v>
      </c>
      <c r="D17" s="7" t="s">
        <v>8</v>
      </c>
      <c r="E17" s="7" t="s">
        <v>22</v>
      </c>
      <c r="F17" s="8"/>
      <c r="G17" s="7"/>
      <c r="H17" s="7"/>
      <c r="I17" s="7"/>
      <c r="J17" s="7"/>
      <c r="K17" s="7"/>
      <c r="O17" s="33" t="s">
        <v>137</v>
      </c>
      <c r="P17" s="34" t="s">
        <v>174</v>
      </c>
      <c r="Q17" s="34" t="s">
        <v>156</v>
      </c>
      <c r="R17" s="39">
        <v>8813</v>
      </c>
      <c r="S17" s="59" t="s">
        <v>187</v>
      </c>
      <c r="T17" s="56" t="str">
        <f t="shared" si="7"/>
        <v>4.8754</v>
      </c>
      <c r="U17" s="41" t="str">
        <f t="shared" si="8"/>
        <v>4.7551</v>
      </c>
      <c r="V17" s="41" t="str">
        <f t="shared" si="9"/>
        <v>5.0301</v>
      </c>
      <c r="W17" s="42">
        <f t="shared" si="10"/>
        <v>75058.520559023833</v>
      </c>
      <c r="X17" s="43">
        <f t="shared" si="11"/>
        <v>56898.392915286749</v>
      </c>
      <c r="Y17" s="43">
        <f t="shared" si="19"/>
        <v>107176.60600831291</v>
      </c>
      <c r="Z17" s="45">
        <f t="shared" si="12"/>
        <v>0.1203000000000003</v>
      </c>
      <c r="AA17" s="45">
        <f t="shared" si="13"/>
        <v>0.15470000000000006</v>
      </c>
      <c r="AB17" s="44">
        <f>$AC$27/W17/$AC$29</f>
        <v>5.0333880717683223E-2</v>
      </c>
      <c r="AC17" s="45">
        <f>($AC$27+$AD$27)/X17/($AC$29-$AD$29)</f>
        <v>6.6574539340101768E-2</v>
      </c>
      <c r="AD17" s="45">
        <f>($AC$27-$AD$27)/Y17/($AC$29+$AD$29)</f>
        <v>3.5157202363867011E-2</v>
      </c>
      <c r="AE17" s="45">
        <f t="shared" si="14"/>
        <v>1.6240658622418545E-2</v>
      </c>
      <c r="AF17" s="45">
        <f t="shared" si="15"/>
        <v>1.5176678353816211E-2</v>
      </c>
      <c r="AH17" s="28"/>
      <c r="AI17" s="27"/>
      <c r="AJ17" s="30">
        <f t="shared" si="0"/>
        <v>18160.127643737083</v>
      </c>
      <c r="AK17" s="30">
        <f t="shared" si="1"/>
        <v>32118.085449289079</v>
      </c>
      <c r="AL17" s="32">
        <f t="shared" si="2"/>
        <v>75059</v>
      </c>
      <c r="AM17" s="32">
        <f t="shared" si="16"/>
        <v>18160</v>
      </c>
      <c r="AN17" s="32">
        <f t="shared" si="17"/>
        <v>32118</v>
      </c>
      <c r="AO17" s="28" t="str">
        <f t="shared" si="18"/>
        <v>75059(+18160-32118)</v>
      </c>
    </row>
    <row r="18" spans="1:43" x14ac:dyDescent="0.2">
      <c r="A18" s="19" t="s">
        <v>39</v>
      </c>
      <c r="C18" s="9" t="s">
        <v>88</v>
      </c>
      <c r="D18" s="20" t="s">
        <v>50</v>
      </c>
      <c r="E18" s="20" t="s">
        <v>53</v>
      </c>
      <c r="F18" s="21">
        <v>1.5391649E-2</v>
      </c>
      <c r="G18" s="20">
        <v>2.7068330000000001E-3</v>
      </c>
      <c r="H18" s="20">
        <v>2.5765520000000002E-3</v>
      </c>
      <c r="I18" s="20">
        <f>F18+G18</f>
        <v>1.8098481999999999E-2</v>
      </c>
      <c r="J18" s="20">
        <f>F18-H18</f>
        <v>1.2815097000000001E-2</v>
      </c>
      <c r="K18" s="20" t="str">
        <f t="shared" si="4"/>
        <v>0.015391(1)</v>
      </c>
      <c r="L18" s="3" t="str">
        <f t="shared" si="5"/>
        <v>0.018098(1)</v>
      </c>
      <c r="M18" s="3" t="str">
        <f t="shared" si="6"/>
        <v>0.012815(1)</v>
      </c>
      <c r="O18" s="33" t="s">
        <v>115</v>
      </c>
      <c r="P18" s="34" t="s">
        <v>175</v>
      </c>
      <c r="Q18" s="34" t="s">
        <v>157</v>
      </c>
      <c r="R18" s="39">
        <v>8950</v>
      </c>
      <c r="S18" s="59" t="s">
        <v>187</v>
      </c>
      <c r="T18" s="56" t="str">
        <f t="shared" si="7"/>
        <v>5.0693</v>
      </c>
      <c r="U18" s="41" t="str">
        <f t="shared" si="8"/>
        <v>4.8008</v>
      </c>
      <c r="V18" s="41" t="str">
        <f t="shared" si="9"/>
        <v>5.8661</v>
      </c>
      <c r="W18" s="42">
        <f t="shared" si="10"/>
        <v>117300.53691536927</v>
      </c>
      <c r="X18" s="43">
        <f t="shared" si="11"/>
        <v>63212.068200526883</v>
      </c>
      <c r="Y18" s="43">
        <f t="shared" si="19"/>
        <v>734683.01569854072</v>
      </c>
      <c r="Z18" s="45">
        <f t="shared" si="12"/>
        <v>0.26850000000000041</v>
      </c>
      <c r="AA18" s="45">
        <f t="shared" si="13"/>
        <v>0.79680000000000017</v>
      </c>
      <c r="AB18" s="44">
        <f>$AC$27/W18/$AC$29</f>
        <v>3.2207752155383955E-2</v>
      </c>
      <c r="AC18" s="45">
        <f>($AC$27+$AD$27)/X18/($AC$29-$AD$29)</f>
        <v>5.9925017569599975E-2</v>
      </c>
      <c r="AD18" s="45">
        <f>($AC$27-$AD$27)/Y18/($AC$29+$AD$29)</f>
        <v>5.1287828159795401E-3</v>
      </c>
      <c r="AE18" s="45">
        <f t="shared" si="14"/>
        <v>2.771726541421602E-2</v>
      </c>
      <c r="AF18" s="45">
        <f t="shared" si="15"/>
        <v>2.7078969339404416E-2</v>
      </c>
      <c r="AH18" s="28"/>
      <c r="AI18" s="27"/>
      <c r="AJ18" s="30">
        <f t="shared" si="0"/>
        <v>54088.468714842391</v>
      </c>
      <c r="AK18" s="30">
        <f t="shared" si="1"/>
        <v>617382.47878317139</v>
      </c>
      <c r="AL18" s="32">
        <f t="shared" si="2"/>
        <v>117301</v>
      </c>
      <c r="AM18" s="32">
        <f t="shared" si="16"/>
        <v>54088</v>
      </c>
      <c r="AN18" s="32">
        <f t="shared" si="17"/>
        <v>617382</v>
      </c>
      <c r="AO18" s="28" t="str">
        <f t="shared" si="18"/>
        <v>117301(+54088-617382)</v>
      </c>
    </row>
    <row r="19" spans="1:43" x14ac:dyDescent="0.2">
      <c r="A19" s="13" t="s">
        <v>39</v>
      </c>
      <c r="C19" s="9" t="s">
        <v>88</v>
      </c>
      <c r="D19" s="14" t="s">
        <v>49</v>
      </c>
      <c r="E19" s="14" t="s">
        <v>22</v>
      </c>
      <c r="F19" s="15"/>
      <c r="G19" s="14"/>
      <c r="H19" s="14"/>
      <c r="I19" s="14"/>
      <c r="J19" s="14"/>
      <c r="K19" s="14"/>
      <c r="O19" s="33" t="s">
        <v>116</v>
      </c>
      <c r="P19" s="34" t="s">
        <v>176</v>
      </c>
      <c r="Q19" s="34" t="s">
        <v>158</v>
      </c>
      <c r="R19" s="39">
        <v>8964</v>
      </c>
      <c r="S19" s="59" t="s">
        <v>187</v>
      </c>
      <c r="T19" s="56" t="str">
        <f t="shared" si="7"/>
        <v>5.0962</v>
      </c>
      <c r="U19" s="41" t="str">
        <f t="shared" si="8"/>
        <v>4.9968</v>
      </c>
      <c r="V19" s="41" t="str">
        <f t="shared" si="9"/>
        <v>5.2061</v>
      </c>
      <c r="W19" s="42">
        <f t="shared" si="10"/>
        <v>124795.80878702841</v>
      </c>
      <c r="X19" s="43">
        <f t="shared" si="11"/>
        <v>99265.880687103228</v>
      </c>
      <c r="Y19" s="43">
        <f t="shared" si="19"/>
        <v>160731.13075127927</v>
      </c>
      <c r="Z19" s="45">
        <f t="shared" si="12"/>
        <v>9.9399999999999267E-2</v>
      </c>
      <c r="AA19" s="45">
        <f t="shared" si="13"/>
        <v>0.10990000000000055</v>
      </c>
      <c r="AB19" s="44">
        <f>$AC$27/W19/$AC$29</f>
        <v>3.0273345374210784E-2</v>
      </c>
      <c r="AC19" s="45">
        <f>($AC$27+$AD$27)/X19/($AC$29-$AD$29)</f>
        <v>3.8159982778649404E-2</v>
      </c>
      <c r="AD19" s="45">
        <f>($AC$27-$AD$27)/Y19/($AC$29+$AD$29)</f>
        <v>2.3443060522839707E-2</v>
      </c>
      <c r="AE19" s="45">
        <f t="shared" si="14"/>
        <v>7.8866374044386199E-3</v>
      </c>
      <c r="AF19" s="45">
        <f t="shared" si="15"/>
        <v>6.8302848513710768E-3</v>
      </c>
      <c r="AH19" s="28"/>
      <c r="AI19" s="27"/>
      <c r="AJ19" s="30">
        <f t="shared" si="0"/>
        <v>25529.928099925179</v>
      </c>
      <c r="AK19" s="30">
        <f t="shared" si="1"/>
        <v>35935.321964250863</v>
      </c>
      <c r="AL19" s="32">
        <f t="shared" si="2"/>
        <v>124796</v>
      </c>
      <c r="AM19" s="32">
        <f t="shared" si="16"/>
        <v>25530</v>
      </c>
      <c r="AN19" s="32">
        <f t="shared" si="17"/>
        <v>35935</v>
      </c>
      <c r="AO19" s="28" t="str">
        <f t="shared" si="18"/>
        <v>124796(+25530-35935)</v>
      </c>
    </row>
    <row r="20" spans="1:43" x14ac:dyDescent="0.2">
      <c r="A20" s="16" t="s">
        <v>40</v>
      </c>
      <c r="B20" s="9" t="s">
        <v>59</v>
      </c>
      <c r="C20" s="9" t="s">
        <v>97</v>
      </c>
      <c r="D20" s="17" t="s">
        <v>48</v>
      </c>
      <c r="E20" s="17" t="s">
        <v>52</v>
      </c>
      <c r="F20" s="18">
        <v>1.862898E-3</v>
      </c>
      <c r="G20" s="17">
        <v>5.8929000000000002E-4</v>
      </c>
      <c r="H20" s="17">
        <v>5.4699399999999997E-4</v>
      </c>
      <c r="I20" s="17">
        <f t="shared" ref="I20:I25" si="22">F20+G20</f>
        <v>2.4521880000000001E-3</v>
      </c>
      <c r="J20" s="17">
        <f t="shared" ref="J20:J25" si="23">F20-H20</f>
        <v>1.3159040000000001E-3</v>
      </c>
      <c r="K20" s="17" t="str">
        <f t="shared" si="4"/>
        <v>0.001862(1)</v>
      </c>
      <c r="L20" s="3" t="str">
        <f t="shared" si="5"/>
        <v>0.002452(1)</v>
      </c>
      <c r="M20" s="3" t="str">
        <f t="shared" si="6"/>
        <v>0.001315(1)</v>
      </c>
      <c r="O20" s="33" t="s">
        <v>138</v>
      </c>
      <c r="P20" s="34" t="s">
        <v>177</v>
      </c>
      <c r="Q20" s="34" t="s">
        <v>159</v>
      </c>
      <c r="R20" s="39">
        <v>9238</v>
      </c>
      <c r="S20" s="59" t="s">
        <v>187</v>
      </c>
      <c r="T20" s="56" t="str">
        <f t="shared" si="7"/>
        <v>4.5819</v>
      </c>
      <c r="U20" s="41" t="str">
        <f t="shared" si="8"/>
        <v>4.4877</v>
      </c>
      <c r="V20" s="41" t="str">
        <f t="shared" si="9"/>
        <v>4.6984</v>
      </c>
      <c r="W20" s="42">
        <f t="shared" si="10"/>
        <v>38185.633504597921</v>
      </c>
      <c r="X20" s="43">
        <f t="shared" si="11"/>
        <v>30739.726560825195</v>
      </c>
      <c r="Y20" s="43">
        <f t="shared" si="19"/>
        <v>49934.418872135087</v>
      </c>
      <c r="Z20" s="45">
        <f t="shared" si="12"/>
        <v>9.4199999999999839E-2</v>
      </c>
      <c r="AA20" s="45">
        <f t="shared" si="13"/>
        <v>0.11650000000000027</v>
      </c>
      <c r="AB20" s="44">
        <f>$AC$27/W20/$AC$29</f>
        <v>9.8937382306588523E-2</v>
      </c>
      <c r="AC20" s="45">
        <f>($AC$27+$AD$27)/X20/($AC$29-$AD$29)</f>
        <v>0.12322765103430507</v>
      </c>
      <c r="AD20" s="45">
        <f>($AC$27-$AD$27)/Y20/($AC$29+$AD$29)</f>
        <v>7.5459566992365196E-2</v>
      </c>
      <c r="AE20" s="45">
        <f t="shared" si="14"/>
        <v>2.4290268727716544E-2</v>
      </c>
      <c r="AF20" s="45">
        <f t="shared" si="15"/>
        <v>2.3477815314223327E-2</v>
      </c>
      <c r="AH20" s="28"/>
      <c r="AI20" s="27"/>
      <c r="AJ20" s="30">
        <f t="shared" si="0"/>
        <v>7445.9069437727267</v>
      </c>
      <c r="AK20" s="30">
        <f t="shared" si="1"/>
        <v>11748.785367537166</v>
      </c>
      <c r="AL20" s="32">
        <f t="shared" si="2"/>
        <v>38186</v>
      </c>
      <c r="AM20" s="32">
        <f t="shared" si="16"/>
        <v>7446</v>
      </c>
      <c r="AN20" s="32">
        <f t="shared" si="17"/>
        <v>11749</v>
      </c>
      <c r="AO20" s="28" t="str">
        <f t="shared" si="18"/>
        <v>38186(+7446-11749)</v>
      </c>
    </row>
    <row r="21" spans="1:43" x14ac:dyDescent="0.2">
      <c r="A21" s="13" t="s">
        <v>41</v>
      </c>
      <c r="B21" s="9" t="s">
        <v>59</v>
      </c>
      <c r="C21" s="9" t="s">
        <v>69</v>
      </c>
      <c r="D21" s="14" t="s">
        <v>49</v>
      </c>
      <c r="E21" s="14" t="s">
        <v>22</v>
      </c>
      <c r="F21" s="15">
        <v>2.8410520000000002E-3</v>
      </c>
      <c r="G21" s="14">
        <v>8.48151E-4</v>
      </c>
      <c r="H21" s="14">
        <v>7.5093399999999998E-4</v>
      </c>
      <c r="I21" s="14">
        <f t="shared" si="22"/>
        <v>3.6892030000000003E-3</v>
      </c>
      <c r="J21" s="14">
        <f t="shared" si="23"/>
        <v>2.0901180000000002E-3</v>
      </c>
      <c r="K21" s="14" t="str">
        <f t="shared" si="4"/>
        <v>0.002841(1)</v>
      </c>
      <c r="L21" s="3" t="str">
        <f t="shared" si="5"/>
        <v>0.003689(1)</v>
      </c>
      <c r="M21" s="3" t="str">
        <f t="shared" si="6"/>
        <v>0.002090(1)</v>
      </c>
      <c r="O21" s="33" t="s">
        <v>139</v>
      </c>
      <c r="P21" s="34" t="s">
        <v>178</v>
      </c>
      <c r="Q21" s="34" t="s">
        <v>160</v>
      </c>
      <c r="R21" s="39">
        <v>9328</v>
      </c>
      <c r="S21" s="59" t="s">
        <v>187</v>
      </c>
      <c r="T21" s="56" t="str">
        <f t="shared" si="7"/>
        <v>4.4380</v>
      </c>
      <c r="U21" s="41" t="str">
        <f t="shared" si="8"/>
        <v>4.2836</v>
      </c>
      <c r="V21" s="41" t="str">
        <f t="shared" si="9"/>
        <v>4.6859</v>
      </c>
      <c r="W21" s="42">
        <f t="shared" si="10"/>
        <v>27415.741719278842</v>
      </c>
      <c r="X21" s="43">
        <f t="shared" si="11"/>
        <v>19213.213114037262</v>
      </c>
      <c r="Y21" s="43">
        <f t="shared" si="19"/>
        <v>48517.677121925815</v>
      </c>
      <c r="Z21" s="45">
        <f t="shared" si="12"/>
        <v>0.15439999999999987</v>
      </c>
      <c r="AA21" s="45">
        <f t="shared" si="13"/>
        <v>0.24790000000000045</v>
      </c>
      <c r="AB21" s="44">
        <f>$AC$27/W21/$AC$29</f>
        <v>0.13780355313192152</v>
      </c>
      <c r="AC21" s="45">
        <f>($AC$27+$AD$27)/X21/($AC$29-$AD$29)</f>
        <v>0.19715516998870983</v>
      </c>
      <c r="AD21" s="45">
        <f>($AC$27-$AD$27)/Y21/($AC$29+$AD$29)</f>
        <v>7.7663026130405516E-2</v>
      </c>
      <c r="AE21" s="45">
        <f t="shared" si="14"/>
        <v>5.9351616856788303E-2</v>
      </c>
      <c r="AF21" s="45">
        <f t="shared" si="15"/>
        <v>6.0140527001516009E-2</v>
      </c>
      <c r="AH21" s="28"/>
      <c r="AI21" s="27"/>
      <c r="AJ21" s="30">
        <f t="shared" si="0"/>
        <v>8202.5286052415795</v>
      </c>
      <c r="AK21" s="30">
        <f t="shared" si="1"/>
        <v>21101.935402646974</v>
      </c>
      <c r="AL21" s="32">
        <f t="shared" si="2"/>
        <v>27416</v>
      </c>
      <c r="AM21" s="32">
        <f t="shared" si="16"/>
        <v>8203</v>
      </c>
      <c r="AN21" s="32">
        <f t="shared" si="17"/>
        <v>21102</v>
      </c>
      <c r="AO21" s="28" t="str">
        <f t="shared" si="18"/>
        <v>27416(+8203-21102)</v>
      </c>
    </row>
    <row r="22" spans="1:43" x14ac:dyDescent="0.2">
      <c r="A22" s="19" t="s">
        <v>42</v>
      </c>
      <c r="B22" s="9"/>
      <c r="C22" s="9" t="s">
        <v>70</v>
      </c>
      <c r="D22" s="20" t="s">
        <v>50</v>
      </c>
      <c r="E22" s="20" t="s">
        <v>53</v>
      </c>
      <c r="F22" s="21">
        <v>1.8512812E-2</v>
      </c>
      <c r="G22" s="20">
        <v>4.0399019999999997E-3</v>
      </c>
      <c r="H22" s="20">
        <v>3.5741029999999999E-3</v>
      </c>
      <c r="I22" s="20">
        <f t="shared" si="22"/>
        <v>2.2552714000000001E-2</v>
      </c>
      <c r="J22" s="20">
        <f t="shared" si="23"/>
        <v>1.4938709E-2</v>
      </c>
      <c r="K22" s="20" t="str">
        <f t="shared" si="4"/>
        <v>0.018512(1)</v>
      </c>
      <c r="L22" s="3" t="str">
        <f t="shared" si="5"/>
        <v>0.022552(1)</v>
      </c>
      <c r="M22" s="3" t="str">
        <f t="shared" si="6"/>
        <v>0.014938(1)</v>
      </c>
      <c r="O22" s="33" t="s">
        <v>140</v>
      </c>
      <c r="P22" s="34" t="s">
        <v>179</v>
      </c>
      <c r="Q22" s="34" t="s">
        <v>161</v>
      </c>
      <c r="R22" s="39">
        <v>9405</v>
      </c>
      <c r="S22" s="59" t="s">
        <v>187</v>
      </c>
      <c r="T22" s="56" t="str">
        <f t="shared" si="7"/>
        <v>5.0763</v>
      </c>
      <c r="U22" s="41" t="str">
        <f t="shared" si="8"/>
        <v>4.9532</v>
      </c>
      <c r="V22" s="41" t="str">
        <f t="shared" si="9"/>
        <v>5.2208</v>
      </c>
      <c r="W22" s="42">
        <f t="shared" si="10"/>
        <v>119206.51731327474</v>
      </c>
      <c r="X22" s="43">
        <f t="shared" si="11"/>
        <v>89784.217090972787</v>
      </c>
      <c r="Y22" s="43">
        <f t="shared" si="19"/>
        <v>166264.67968935371</v>
      </c>
      <c r="Z22" s="45">
        <f t="shared" si="12"/>
        <v>0.12309999999999999</v>
      </c>
      <c r="AA22" s="45">
        <f t="shared" si="13"/>
        <v>0.14449999999999985</v>
      </c>
      <c r="AB22" s="44">
        <f>$AC$27/W22/$AC$29</f>
        <v>3.1692785812499916E-2</v>
      </c>
      <c r="AC22" s="45">
        <f>($AC$27+$AD$27)/X22/($AC$29-$AD$29)</f>
        <v>4.218986833386535E-2</v>
      </c>
      <c r="AD22" s="45">
        <f>($AC$27-$AD$27)/Y22/($AC$29+$AD$29)</f>
        <v>2.2662838752925931E-2</v>
      </c>
      <c r="AE22" s="45">
        <f t="shared" si="14"/>
        <v>1.0497082521365435E-2</v>
      </c>
      <c r="AF22" s="45">
        <f t="shared" si="15"/>
        <v>9.0299470595739846E-3</v>
      </c>
      <c r="AH22" s="28"/>
      <c r="AI22" s="27"/>
      <c r="AJ22" s="30">
        <f t="shared" si="0"/>
        <v>29422.300222301958</v>
      </c>
      <c r="AK22" s="30">
        <f t="shared" si="1"/>
        <v>47058.162376078966</v>
      </c>
      <c r="AL22" s="32">
        <f t="shared" si="2"/>
        <v>119207</v>
      </c>
      <c r="AM22" s="32">
        <f t="shared" si="16"/>
        <v>29422</v>
      </c>
      <c r="AN22" s="32">
        <f t="shared" si="17"/>
        <v>47058</v>
      </c>
      <c r="AO22" s="28" t="str">
        <f t="shared" si="18"/>
        <v>119207(+29422-47058)</v>
      </c>
    </row>
    <row r="23" spans="1:43" x14ac:dyDescent="0.2">
      <c r="A23" s="16" t="s">
        <v>43</v>
      </c>
      <c r="B23" s="9"/>
      <c r="C23" s="9" t="s">
        <v>91</v>
      </c>
      <c r="D23" s="17" t="s">
        <v>48</v>
      </c>
      <c r="E23" s="17" t="s">
        <v>52</v>
      </c>
      <c r="F23" s="18">
        <v>9.7960949999999995E-3</v>
      </c>
      <c r="G23" s="17">
        <v>7.5937130000000002E-3</v>
      </c>
      <c r="H23" s="17">
        <v>7.441268E-3</v>
      </c>
      <c r="I23" s="17">
        <f t="shared" si="22"/>
        <v>1.7389808E-2</v>
      </c>
      <c r="J23" s="17">
        <f t="shared" si="23"/>
        <v>2.3548269999999994E-3</v>
      </c>
      <c r="K23" s="17" t="str">
        <f t="shared" si="4"/>
        <v>0.009796(1)</v>
      </c>
      <c r="L23" s="3" t="str">
        <f t="shared" si="5"/>
        <v>0.017389(1)</v>
      </c>
      <c r="M23" s="3" t="str">
        <f t="shared" si="6"/>
        <v>0.002354(1)</v>
      </c>
      <c r="O23" s="33" t="s">
        <v>141</v>
      </c>
      <c r="P23" s="34" t="s">
        <v>182</v>
      </c>
      <c r="Q23" s="34" t="s">
        <v>183</v>
      </c>
      <c r="R23" s="39">
        <v>9421</v>
      </c>
      <c r="S23" s="59" t="s">
        <v>187</v>
      </c>
      <c r="T23" s="56" t="str">
        <f t="shared" si="7"/>
        <v>4.9854</v>
      </c>
      <c r="U23" s="41" t="str">
        <f t="shared" si="8"/>
        <v>4.8070</v>
      </c>
      <c r="V23" s="41" t="str">
        <f t="shared" si="9"/>
        <v>5.2900</v>
      </c>
      <c r="W23" s="42">
        <f t="shared" si="10"/>
        <v>96694.105460912397</v>
      </c>
      <c r="X23" s="43">
        <f t="shared" si="11"/>
        <v>64120.957658516272</v>
      </c>
      <c r="Y23" s="43">
        <f t="shared" si="19"/>
        <v>194984.45997580473</v>
      </c>
      <c r="Z23" s="45">
        <f t="shared" si="12"/>
        <v>0.17839999999999989</v>
      </c>
      <c r="AA23" s="45">
        <f t="shared" si="13"/>
        <v>0.30459999999999976</v>
      </c>
      <c r="AB23" s="44">
        <f>$AC$27/W23/$AC$29</f>
        <v>3.9071529775834085E-2</v>
      </c>
      <c r="AC23" s="45">
        <f>($AC$27+$AD$27)/X23/($AC$29-$AD$29)</f>
        <v>5.9075603918779293E-2</v>
      </c>
      <c r="AD23" s="45">
        <f>($AC$27-$AD$27)/Y23/($AC$29+$AD$29)</f>
        <v>1.9324768889655463E-2</v>
      </c>
      <c r="AE23" s="45">
        <f t="shared" si="14"/>
        <v>2.0004074142945208E-2</v>
      </c>
      <c r="AF23" s="45">
        <f t="shared" si="15"/>
        <v>1.9746760886178622E-2</v>
      </c>
      <c r="AH23" s="28"/>
      <c r="AI23" s="27"/>
      <c r="AJ23" s="30">
        <f t="shared" si="0"/>
        <v>32573.147802396124</v>
      </c>
      <c r="AK23" s="30">
        <f t="shared" si="1"/>
        <v>98290.354514892329</v>
      </c>
      <c r="AL23" s="32">
        <f>ROUND(W23,0)</f>
        <v>96694</v>
      </c>
      <c r="AM23" s="32">
        <f t="shared" si="16"/>
        <v>32573</v>
      </c>
      <c r="AN23" s="32">
        <f t="shared" si="17"/>
        <v>98290</v>
      </c>
      <c r="AO23" s="28" t="str">
        <f t="shared" si="18"/>
        <v>96694(+32573-98290)</v>
      </c>
      <c r="AP23" s="10"/>
      <c r="AQ23" s="10"/>
    </row>
    <row r="24" spans="1:43" x14ac:dyDescent="0.2">
      <c r="A24" s="19" t="s">
        <v>44</v>
      </c>
      <c r="B24" s="9"/>
      <c r="C24" s="9" t="s">
        <v>93</v>
      </c>
      <c r="D24" s="20" t="s">
        <v>50</v>
      </c>
      <c r="E24" s="20" t="s">
        <v>53</v>
      </c>
      <c r="F24" s="21">
        <v>8.9359269999999998E-3</v>
      </c>
      <c r="G24" s="20">
        <v>2.605525E-3</v>
      </c>
      <c r="H24" s="20">
        <v>2.3741019999999999E-3</v>
      </c>
      <c r="I24" s="20">
        <f t="shared" si="22"/>
        <v>1.1541452000000001E-2</v>
      </c>
      <c r="J24" s="20">
        <f t="shared" si="23"/>
        <v>6.5618250000000003E-3</v>
      </c>
      <c r="K24" s="20" t="str">
        <f t="shared" si="4"/>
        <v>0.008935(1)</v>
      </c>
      <c r="L24" s="3" t="str">
        <f t="shared" si="5"/>
        <v>0.011541(1)</v>
      </c>
      <c r="M24" s="3" t="str">
        <f t="shared" si="6"/>
        <v>0.006561(1)</v>
      </c>
      <c r="O24" s="40" t="s">
        <v>142</v>
      </c>
      <c r="P24" s="41" t="s">
        <v>180</v>
      </c>
      <c r="Q24" s="41" t="s">
        <v>185</v>
      </c>
      <c r="R24" s="55">
        <v>9730</v>
      </c>
      <c r="S24" s="58" t="s">
        <v>189</v>
      </c>
      <c r="T24" s="56" t="str">
        <f t="shared" ref="T24" si="24">LEFT(O24,6)</f>
        <v>5.4614</v>
      </c>
      <c r="U24" s="41" t="str">
        <f t="shared" ref="U24" si="25">LEFT(P24,6)</f>
        <v>5.1646</v>
      </c>
      <c r="V24" s="41" t="str">
        <f t="shared" ref="V24" si="26">LEFT(Q24,6)</f>
        <v>7.0920</v>
      </c>
      <c r="W24" s="42">
        <f t="shared" si="10"/>
        <v>289334.35233915085</v>
      </c>
      <c r="X24" s="43">
        <f t="shared" si="11"/>
        <v>146083.10795054247</v>
      </c>
      <c r="Y24" s="43">
        <f t="shared" si="19"/>
        <v>12359474.334445119</v>
      </c>
      <c r="Z24" s="45">
        <f t="shared" si="12"/>
        <v>0.29680000000000017</v>
      </c>
      <c r="AA24" s="45">
        <f t="shared" si="13"/>
        <v>1.6305999999999994</v>
      </c>
      <c r="AB24" s="44">
        <f>$AC$27/W24/$AC$29</f>
        <v>1.3057511457316392E-2</v>
      </c>
      <c r="AC24" s="45">
        <f>($AC$27+$AD$27)/X24/($AC$29-$AD$29)</f>
        <v>2.5930337536423279E-2</v>
      </c>
      <c r="AD24" s="45">
        <f>($AC$27-$AD$27)/Y24/($AC$29+$AD$29)</f>
        <v>3.0486973184655827E-4</v>
      </c>
      <c r="AE24" s="45">
        <f t="shared" si="14"/>
        <v>1.2872826079106886E-2</v>
      </c>
      <c r="AF24" s="45">
        <f t="shared" si="15"/>
        <v>1.2752641725469834E-2</v>
      </c>
      <c r="AG24" s="27"/>
      <c r="AH24" s="27"/>
      <c r="AI24" s="27"/>
      <c r="AN24" s="22"/>
      <c r="AO24" s="22"/>
      <c r="AP24" s="22"/>
    </row>
    <row r="25" spans="1:43" x14ac:dyDescent="0.3">
      <c r="A25" s="23" t="s">
        <v>45</v>
      </c>
      <c r="B25" s="9"/>
      <c r="C25" s="9" t="s">
        <v>92</v>
      </c>
      <c r="D25" s="23" t="s">
        <v>51</v>
      </c>
      <c r="E25" s="23" t="s">
        <v>54</v>
      </c>
      <c r="F25" s="24">
        <v>1.559613E-2</v>
      </c>
      <c r="G25" s="23">
        <v>2.905347E-3</v>
      </c>
      <c r="H25" s="23">
        <v>2.8038030000000001E-3</v>
      </c>
      <c r="I25" s="23">
        <f t="shared" si="22"/>
        <v>1.8501476999999999E-2</v>
      </c>
      <c r="J25" s="23">
        <f t="shared" si="23"/>
        <v>1.2792326999999999E-2</v>
      </c>
      <c r="K25" s="23" t="str">
        <f t="shared" si="4"/>
        <v>0.015596(1)</v>
      </c>
      <c r="L25" s="3" t="str">
        <f t="shared" si="5"/>
        <v>0.018501(1)</v>
      </c>
      <c r="M25" s="3" t="str">
        <f t="shared" si="6"/>
        <v>0.012792(1)</v>
      </c>
      <c r="O25" s="41"/>
      <c r="P25" s="41"/>
      <c r="Q25" s="41"/>
      <c r="R25" s="41"/>
      <c r="S25" s="41"/>
      <c r="T25" s="46"/>
      <c r="U25" s="47"/>
      <c r="V25" s="47"/>
      <c r="W25" s="46"/>
      <c r="X25" s="46"/>
      <c r="Y25" s="46"/>
      <c r="Z25" s="46"/>
      <c r="AA25" s="46"/>
      <c r="AE25" s="46"/>
      <c r="AF25" s="46"/>
      <c r="AG25" s="27"/>
      <c r="AH25" s="27"/>
      <c r="AI25" s="27"/>
    </row>
    <row r="26" spans="1:43" ht="15" x14ac:dyDescent="0.3">
      <c r="A26" s="20" t="s">
        <v>45</v>
      </c>
      <c r="B26" s="9"/>
      <c r="C26" s="9" t="s">
        <v>92</v>
      </c>
      <c r="D26" s="20" t="s">
        <v>50</v>
      </c>
      <c r="E26" s="20" t="s">
        <v>53</v>
      </c>
      <c r="F26" s="21"/>
      <c r="G26" s="20"/>
      <c r="H26" s="20"/>
      <c r="I26" s="20"/>
      <c r="J26" s="20"/>
      <c r="K26" s="20"/>
      <c r="O26" s="41"/>
      <c r="P26" s="41"/>
      <c r="Q26" s="41"/>
      <c r="R26" s="41"/>
      <c r="S26" s="41"/>
      <c r="T26" s="46"/>
      <c r="U26" s="46"/>
      <c r="V26" s="46"/>
      <c r="W26" s="46"/>
      <c r="X26" s="46"/>
      <c r="Y26" s="46"/>
      <c r="Z26" s="46"/>
      <c r="AA26" s="46"/>
      <c r="AB26" s="48"/>
      <c r="AC26" s="48"/>
      <c r="AD26" s="49" t="s">
        <v>125</v>
      </c>
      <c r="AE26" s="46"/>
      <c r="AF26" s="46"/>
      <c r="AG26" s="27"/>
      <c r="AH26" s="27"/>
      <c r="AI26" s="27"/>
    </row>
    <row r="27" spans="1:43" ht="15" x14ac:dyDescent="0.3">
      <c r="A27" s="23" t="s">
        <v>76</v>
      </c>
      <c r="B27" s="9"/>
      <c r="C27" s="9" t="s">
        <v>94</v>
      </c>
      <c r="D27" s="23" t="s">
        <v>51</v>
      </c>
      <c r="E27" s="23" t="s">
        <v>54</v>
      </c>
      <c r="F27" s="24">
        <v>1.7310015000000002E-2</v>
      </c>
      <c r="G27" s="23">
        <v>4.250424E-3</v>
      </c>
      <c r="H27" s="23">
        <v>4.5227460000000002E-3</v>
      </c>
      <c r="I27" s="23">
        <f>F27+G27</f>
        <v>2.1560439000000001E-2</v>
      </c>
      <c r="J27" s="23">
        <f>F27-H27</f>
        <v>1.2787269E-2</v>
      </c>
      <c r="K27" s="23" t="str">
        <f t="shared" si="4"/>
        <v>0.017310(1)</v>
      </c>
      <c r="L27" s="3" t="str">
        <f t="shared" si="5"/>
        <v>0.021560(1)</v>
      </c>
      <c r="M27" s="3" t="str">
        <f t="shared" si="6"/>
        <v>0.012787(1)</v>
      </c>
      <c r="O27" s="41"/>
      <c r="P27" s="41"/>
      <c r="Q27" s="41"/>
      <c r="R27" s="41"/>
      <c r="S27" s="41"/>
      <c r="T27" s="46"/>
      <c r="U27" s="46"/>
      <c r="V27" s="46"/>
      <c r="W27" s="46"/>
      <c r="X27" s="46"/>
      <c r="Y27" s="46"/>
      <c r="Z27" s="46"/>
      <c r="AA27" s="46"/>
      <c r="AB27" s="50" t="s">
        <v>126</v>
      </c>
      <c r="AC27" s="51">
        <v>6144.48</v>
      </c>
      <c r="AD27" s="50">
        <v>3.7</v>
      </c>
      <c r="AE27" s="46"/>
      <c r="AF27" s="46"/>
      <c r="AG27" s="27"/>
      <c r="AH27" s="27"/>
      <c r="AI27" s="27"/>
      <c r="AN27" s="10"/>
      <c r="AO27" s="10"/>
      <c r="AP27" s="10"/>
    </row>
    <row r="28" spans="1:43" ht="15" x14ac:dyDescent="0.3">
      <c r="A28" s="14" t="s">
        <v>76</v>
      </c>
      <c r="B28" s="9"/>
      <c r="C28" s="9" t="s">
        <v>94</v>
      </c>
      <c r="D28" s="14" t="s">
        <v>49</v>
      </c>
      <c r="E28" s="14" t="s">
        <v>22</v>
      </c>
      <c r="F28" s="15"/>
      <c r="G28" s="14"/>
      <c r="H28" s="14"/>
      <c r="I28" s="14"/>
      <c r="J28" s="14"/>
      <c r="K28" s="14"/>
      <c r="O28" s="41"/>
      <c r="P28" s="41"/>
      <c r="Q28" s="41"/>
      <c r="R28" s="41"/>
      <c r="S28" s="41"/>
      <c r="T28" s="46"/>
      <c r="U28" s="46"/>
      <c r="V28" s="46"/>
      <c r="W28" s="46"/>
      <c r="X28" s="46"/>
      <c r="Y28" s="46"/>
      <c r="Z28" s="46"/>
      <c r="AA28" s="46"/>
      <c r="AB28" s="50" t="s">
        <v>127</v>
      </c>
      <c r="AC28" s="50">
        <v>-1.2753000000000001</v>
      </c>
      <c r="AD28" s="51">
        <v>1.2999999999999999E-3</v>
      </c>
      <c r="AE28" s="46"/>
      <c r="AF28" s="46"/>
      <c r="AG28" s="27"/>
      <c r="AH28" s="27"/>
      <c r="AI28" s="27"/>
    </row>
    <row r="29" spans="1:43" ht="15" x14ac:dyDescent="0.3">
      <c r="A29" s="20" t="s">
        <v>46</v>
      </c>
      <c r="B29" s="9" t="s">
        <v>61</v>
      </c>
      <c r="C29" s="9" t="s">
        <v>95</v>
      </c>
      <c r="D29" s="20" t="s">
        <v>50</v>
      </c>
      <c r="E29" s="20" t="s">
        <v>53</v>
      </c>
      <c r="F29" s="21">
        <v>3.2222140000000002E-3</v>
      </c>
      <c r="G29" s="20">
        <v>9.7104500000000002E-4</v>
      </c>
      <c r="H29" s="20">
        <v>8.1864899999999996E-4</v>
      </c>
      <c r="I29" s="20">
        <f>F29+G29</f>
        <v>4.1932590000000004E-3</v>
      </c>
      <c r="J29" s="20">
        <f>F29-H29</f>
        <v>2.4035650000000003E-3</v>
      </c>
      <c r="K29" s="20" t="str">
        <f t="shared" si="4"/>
        <v>0.003222(1)</v>
      </c>
      <c r="L29" s="3" t="str">
        <f t="shared" si="5"/>
        <v>0.004193(1)</v>
      </c>
      <c r="M29" s="3" t="str">
        <f t="shared" si="6"/>
        <v>0.002403(1)</v>
      </c>
      <c r="O29" s="41"/>
      <c r="P29" s="41"/>
      <c r="Q29" s="41"/>
      <c r="R29" s="41"/>
      <c r="S29" s="41"/>
      <c r="T29" s="46"/>
      <c r="U29" s="46"/>
      <c r="V29" s="46"/>
      <c r="W29" s="46"/>
      <c r="X29" s="46"/>
      <c r="Y29" s="46"/>
      <c r="Z29" s="46"/>
      <c r="AA29" s="46"/>
      <c r="AB29" s="50" t="s">
        <v>128</v>
      </c>
      <c r="AC29" s="52">
        <f>AC28^2</f>
        <v>1.6263900900000003</v>
      </c>
      <c r="AD29" s="52">
        <f>2*ABS(AC28)*AD28</f>
        <v>3.3157799999999999E-3</v>
      </c>
      <c r="AE29" s="46"/>
      <c r="AF29" s="46"/>
      <c r="AG29" s="27"/>
      <c r="AH29" s="27"/>
      <c r="AI29" s="27"/>
      <c r="AO29" s="22"/>
      <c r="AP29" s="22"/>
    </row>
    <row r="30" spans="1:43" x14ac:dyDescent="0.3">
      <c r="A30" s="23" t="s">
        <v>47</v>
      </c>
      <c r="B30" s="9" t="s">
        <v>61</v>
      </c>
      <c r="C30" s="9" t="s">
        <v>96</v>
      </c>
      <c r="D30" s="23" t="s">
        <v>51</v>
      </c>
      <c r="E30" s="23" t="s">
        <v>54</v>
      </c>
      <c r="F30" s="24">
        <v>7.943571E-3</v>
      </c>
      <c r="G30" s="23">
        <v>3.9036539999999999E-3</v>
      </c>
      <c r="H30" s="23">
        <v>3.883418E-3</v>
      </c>
      <c r="I30" s="23">
        <f>F30+G30</f>
        <v>1.1847224999999999E-2</v>
      </c>
      <c r="J30" s="23">
        <f>F30-H30</f>
        <v>4.0601530000000004E-3</v>
      </c>
      <c r="K30" s="23" t="str">
        <f t="shared" si="4"/>
        <v>0.007943(1)</v>
      </c>
      <c r="L30" s="3" t="str">
        <f>LEFT(I30,8)&amp;"("&amp;"1"&amp;")"</f>
        <v>0.011847(1)</v>
      </c>
      <c r="M30" s="3" t="str">
        <f t="shared" si="6"/>
        <v>0.004060(1)</v>
      </c>
      <c r="O30" s="41"/>
      <c r="P30" s="41"/>
      <c r="Q30" s="41"/>
      <c r="R30" s="41"/>
      <c r="S30" s="41"/>
      <c r="T30" s="46"/>
      <c r="U30" s="46"/>
      <c r="V30" s="46"/>
      <c r="W30" s="46"/>
      <c r="X30" s="46"/>
      <c r="Y30" s="46"/>
      <c r="Z30" s="46"/>
      <c r="AA30" s="46"/>
      <c r="AB30" s="46"/>
      <c r="AC30" s="46"/>
      <c r="AD30" s="46"/>
      <c r="AE30" s="46"/>
      <c r="AF30" s="46"/>
      <c r="AG30" s="27"/>
      <c r="AH30" s="27"/>
      <c r="AI30" s="27"/>
      <c r="AN30" s="10"/>
      <c r="AO30" s="10"/>
      <c r="AP30" s="10"/>
    </row>
    <row r="31" spans="1:43" x14ac:dyDescent="0.3">
      <c r="A31" s="9"/>
      <c r="B31" s="9"/>
      <c r="C31" s="9"/>
      <c r="D31" s="9"/>
      <c r="E31" s="25"/>
      <c r="F31" s="25"/>
      <c r="G31" s="25"/>
      <c r="H31" s="25"/>
      <c r="I31" s="25"/>
      <c r="J31" s="25"/>
      <c r="K31" s="25"/>
      <c r="L31" s="25"/>
      <c r="M31" s="25"/>
      <c r="N31" s="25"/>
      <c r="O31" s="53"/>
      <c r="P31" s="53"/>
      <c r="Q31" s="53"/>
      <c r="R31" s="53"/>
      <c r="S31" s="53"/>
      <c r="T31" s="54"/>
      <c r="U31" s="54"/>
      <c r="V31" s="54"/>
      <c r="W31" s="54"/>
      <c r="X31" s="54"/>
      <c r="Y31" s="54"/>
      <c r="Z31" s="54"/>
      <c r="AA31" s="54"/>
      <c r="AB31" s="54"/>
      <c r="AC31" s="54"/>
      <c r="AD31" s="54"/>
      <c r="AE31" s="54"/>
      <c r="AF31" s="54"/>
      <c r="AG31" s="25"/>
      <c r="AH31" s="25"/>
    </row>
    <row r="32" spans="1:43" x14ac:dyDescent="0.3">
      <c r="A32" s="9"/>
      <c r="B32" s="9"/>
      <c r="C32" s="9"/>
      <c r="D32" s="9"/>
      <c r="E32" s="25"/>
      <c r="F32" s="25"/>
      <c r="G32" s="25"/>
      <c r="H32" s="25"/>
      <c r="I32" s="25"/>
      <c r="J32" s="25"/>
      <c r="K32" s="25"/>
      <c r="L32" s="25"/>
      <c r="M32" s="25"/>
      <c r="N32" s="25"/>
      <c r="O32" s="53"/>
      <c r="P32" s="53"/>
      <c r="Q32" s="53"/>
      <c r="R32" s="53"/>
      <c r="S32" s="53"/>
      <c r="T32" s="54"/>
      <c r="U32" s="54"/>
      <c r="V32" s="54"/>
      <c r="W32" s="54"/>
      <c r="X32" s="54"/>
      <c r="Y32" s="54"/>
      <c r="Z32" s="54"/>
      <c r="AA32" s="54"/>
      <c r="AB32" s="54"/>
      <c r="AC32" s="54"/>
      <c r="AD32" s="54"/>
      <c r="AE32" s="54"/>
      <c r="AF32" s="54"/>
      <c r="AG32" s="25"/>
      <c r="AH32" s="25"/>
    </row>
    <row r="33" spans="1:34" x14ac:dyDescent="0.3">
      <c r="A33" s="9"/>
      <c r="B33" s="9"/>
      <c r="C33" s="9"/>
      <c r="D33" s="9"/>
      <c r="E33" s="25"/>
      <c r="F33" s="25"/>
      <c r="G33" s="25"/>
      <c r="H33" s="25"/>
      <c r="I33" s="25"/>
      <c r="J33" s="25"/>
      <c r="K33" s="25"/>
      <c r="L33" s="25"/>
      <c r="M33" s="25"/>
      <c r="N33" s="25"/>
      <c r="O33" s="53"/>
      <c r="P33" s="53"/>
      <c r="Q33" s="53"/>
      <c r="R33" s="53"/>
      <c r="S33" s="53"/>
      <c r="T33" s="54"/>
      <c r="U33" s="54"/>
      <c r="V33" s="54"/>
      <c r="W33" s="54"/>
      <c r="X33" s="54"/>
      <c r="Y33" s="54"/>
      <c r="Z33" s="54"/>
      <c r="AA33" s="54"/>
      <c r="AB33" s="54"/>
      <c r="AC33" s="54"/>
      <c r="AD33" s="54"/>
      <c r="AE33" s="54"/>
      <c r="AF33" s="54"/>
      <c r="AG33" s="25"/>
      <c r="AH33" s="25"/>
    </row>
    <row r="34" spans="1:34" x14ac:dyDescent="0.3">
      <c r="A34" s="9"/>
      <c r="B34" s="9"/>
      <c r="C34" s="9"/>
      <c r="D34" s="9"/>
      <c r="E34" s="25"/>
      <c r="F34" s="25"/>
      <c r="G34" s="25"/>
      <c r="H34" s="25"/>
      <c r="I34" s="25"/>
      <c r="J34" s="25"/>
      <c r="K34" s="25"/>
      <c r="L34" s="25"/>
      <c r="M34" s="25"/>
      <c r="N34" s="25"/>
      <c r="O34" s="53"/>
      <c r="P34" s="53"/>
      <c r="Q34" s="53"/>
      <c r="R34" s="53"/>
      <c r="S34" s="53"/>
      <c r="T34" s="54"/>
      <c r="U34" s="54"/>
      <c r="V34" s="54"/>
      <c r="W34" s="54"/>
      <c r="X34" s="54"/>
      <c r="Y34" s="54"/>
      <c r="Z34" s="54"/>
      <c r="AA34" s="54"/>
      <c r="AB34" s="54"/>
      <c r="AC34" s="54"/>
      <c r="AD34" s="54"/>
      <c r="AE34" s="54"/>
      <c r="AF34" s="54"/>
      <c r="AG34" s="25"/>
      <c r="AH34" s="25"/>
    </row>
    <row r="35" spans="1:34" x14ac:dyDescent="0.3">
      <c r="A35" s="9"/>
      <c r="B35" s="9"/>
      <c r="C35" s="9"/>
      <c r="D35" s="9"/>
      <c r="E35" s="25"/>
      <c r="F35" s="25"/>
      <c r="G35" s="25"/>
      <c r="H35" s="25"/>
      <c r="I35" s="25"/>
      <c r="J35" s="25"/>
      <c r="K35" s="25"/>
      <c r="L35" s="25"/>
      <c r="M35" s="25"/>
      <c r="N35" s="25"/>
      <c r="O35" s="53"/>
      <c r="P35" s="53"/>
      <c r="Q35" s="53"/>
      <c r="R35" s="53"/>
      <c r="S35" s="53"/>
      <c r="T35" s="54"/>
      <c r="U35" s="54"/>
      <c r="V35" s="54"/>
      <c r="W35" s="54"/>
      <c r="X35" s="54"/>
      <c r="Y35" s="54"/>
      <c r="Z35" s="54"/>
      <c r="AA35" s="54"/>
      <c r="AB35" s="54"/>
      <c r="AC35" s="54"/>
      <c r="AD35" s="54"/>
      <c r="AE35" s="54"/>
      <c r="AF35" s="54"/>
      <c r="AG35" s="25"/>
      <c r="AH35" s="25"/>
    </row>
    <row r="36" spans="1:34" x14ac:dyDescent="0.3">
      <c r="A36" s="9"/>
      <c r="B36" s="9"/>
      <c r="C36" s="9"/>
      <c r="D36" s="9"/>
      <c r="E36" s="25"/>
      <c r="F36" s="25"/>
      <c r="G36" s="25"/>
      <c r="H36" s="25"/>
      <c r="I36" s="25"/>
      <c r="J36" s="25"/>
      <c r="K36" s="25"/>
      <c r="L36" s="25"/>
      <c r="M36" s="25"/>
      <c r="N36" s="25"/>
      <c r="O36" s="53"/>
      <c r="P36" s="53"/>
      <c r="Q36" s="53"/>
      <c r="R36" s="53"/>
      <c r="S36" s="53"/>
      <c r="T36" s="54"/>
      <c r="U36" s="54"/>
      <c r="V36" s="54"/>
      <c r="W36" s="54"/>
      <c r="X36" s="54"/>
      <c r="Y36" s="54"/>
      <c r="Z36" s="54"/>
      <c r="AA36" s="54"/>
      <c r="AB36" s="54"/>
      <c r="AC36" s="54"/>
      <c r="AD36" s="54"/>
      <c r="AE36" s="54"/>
      <c r="AF36" s="54"/>
      <c r="AG36" s="25"/>
      <c r="AH36" s="25"/>
    </row>
    <row r="37" spans="1:34" x14ac:dyDescent="0.3">
      <c r="A37" s="9"/>
      <c r="B37" s="9"/>
      <c r="C37" s="9"/>
      <c r="D37" s="9"/>
      <c r="E37" s="25"/>
      <c r="F37" s="25"/>
      <c r="G37" s="25"/>
      <c r="H37" s="25"/>
      <c r="I37" s="25"/>
      <c r="J37" s="25"/>
      <c r="K37" s="25"/>
      <c r="L37" s="25"/>
      <c r="M37" s="25"/>
      <c r="N37" s="25"/>
      <c r="O37" s="53"/>
      <c r="P37" s="53"/>
      <c r="Q37" s="53"/>
      <c r="R37" s="53"/>
      <c r="S37" s="53"/>
      <c r="T37" s="54"/>
      <c r="U37" s="54"/>
      <c r="V37" s="54"/>
      <c r="W37" s="54"/>
      <c r="X37" s="54"/>
      <c r="Y37" s="54"/>
      <c r="Z37" s="54"/>
      <c r="AA37" s="54"/>
      <c r="AB37" s="54"/>
      <c r="AC37" s="54"/>
      <c r="AD37" s="54"/>
      <c r="AE37" s="54"/>
      <c r="AF37" s="54"/>
      <c r="AG37" s="25"/>
      <c r="AH37" s="25"/>
    </row>
    <row r="38" spans="1:34" x14ac:dyDescent="0.3">
      <c r="A38" s="9"/>
      <c r="B38" s="9"/>
      <c r="C38" s="9"/>
      <c r="D38" s="9"/>
      <c r="E38" s="25"/>
      <c r="F38" s="25"/>
      <c r="G38" s="25"/>
      <c r="H38" s="25"/>
      <c r="I38" s="25"/>
      <c r="J38" s="25"/>
      <c r="K38" s="25"/>
      <c r="L38" s="25"/>
      <c r="M38" s="25"/>
      <c r="N38" s="25"/>
      <c r="O38" s="53"/>
      <c r="P38" s="53"/>
      <c r="Q38" s="53"/>
      <c r="R38" s="53"/>
      <c r="S38" s="53"/>
      <c r="T38" s="54"/>
      <c r="U38" s="54"/>
      <c r="V38" s="54"/>
      <c r="W38" s="54"/>
      <c r="X38" s="54"/>
      <c r="Y38" s="54"/>
      <c r="Z38" s="54"/>
      <c r="AA38" s="54"/>
      <c r="AB38" s="54"/>
      <c r="AC38" s="54"/>
      <c r="AD38" s="54"/>
      <c r="AE38" s="54"/>
      <c r="AF38" s="54"/>
      <c r="AG38" s="25"/>
      <c r="AH38" s="25"/>
    </row>
    <row r="39" spans="1:34" x14ac:dyDescent="0.3">
      <c r="A39" s="9"/>
      <c r="B39" s="9"/>
      <c r="C39" s="9"/>
      <c r="D39" s="9"/>
      <c r="E39" s="25"/>
      <c r="F39" s="25"/>
      <c r="G39" s="25"/>
      <c r="H39" s="25"/>
      <c r="I39" s="25"/>
      <c r="J39" s="25"/>
      <c r="K39" s="25"/>
      <c r="L39" s="25"/>
      <c r="M39" s="25"/>
      <c r="N39" s="25"/>
      <c r="O39" s="53"/>
      <c r="P39" s="53"/>
      <c r="Q39" s="53"/>
      <c r="R39" s="53"/>
      <c r="S39" s="53"/>
      <c r="T39" s="54"/>
      <c r="U39" s="54"/>
      <c r="V39" s="54"/>
      <c r="W39" s="54"/>
      <c r="X39" s="54"/>
      <c r="Y39" s="54"/>
      <c r="Z39" s="54"/>
      <c r="AA39" s="54"/>
      <c r="AB39" s="54"/>
      <c r="AC39" s="54"/>
      <c r="AD39" s="54"/>
      <c r="AE39" s="54"/>
      <c r="AF39" s="54"/>
      <c r="AG39" s="25"/>
      <c r="AH39" s="25"/>
    </row>
    <row r="40" spans="1:34" x14ac:dyDescent="0.3">
      <c r="A40" s="9"/>
      <c r="B40" s="9"/>
      <c r="C40" s="9"/>
      <c r="D40" s="9"/>
      <c r="E40" s="25"/>
      <c r="F40" s="25"/>
      <c r="G40" s="25"/>
      <c r="H40" s="25"/>
      <c r="I40" s="25"/>
      <c r="J40" s="25"/>
      <c r="K40" s="25"/>
      <c r="L40" s="25"/>
      <c r="M40" s="25"/>
      <c r="N40" s="25"/>
      <c r="O40" s="53"/>
      <c r="P40" s="53"/>
      <c r="Q40" s="53"/>
      <c r="R40" s="53"/>
      <c r="S40" s="53"/>
      <c r="T40" s="54"/>
      <c r="U40" s="54"/>
      <c r="V40" s="54"/>
      <c r="W40" s="54"/>
      <c r="X40" s="54"/>
      <c r="Y40" s="54"/>
      <c r="Z40" s="54"/>
      <c r="AA40" s="54"/>
      <c r="AB40" s="54"/>
      <c r="AC40" s="54"/>
      <c r="AD40" s="54"/>
      <c r="AE40" s="54"/>
      <c r="AF40" s="54"/>
      <c r="AG40" s="25"/>
      <c r="AH40" s="25"/>
    </row>
    <row r="41" spans="1:34" x14ac:dyDescent="0.3">
      <c r="A41" s="9"/>
      <c r="B41" s="9"/>
      <c r="C41" s="9"/>
      <c r="D41" s="9"/>
      <c r="E41" s="25"/>
      <c r="F41" s="25"/>
      <c r="G41" s="25"/>
      <c r="H41" s="25"/>
      <c r="I41" s="25"/>
      <c r="J41" s="25"/>
      <c r="K41" s="25"/>
      <c r="L41" s="25"/>
      <c r="M41" s="25"/>
      <c r="N41" s="25"/>
      <c r="O41" s="53"/>
      <c r="P41" s="53"/>
      <c r="Q41" s="53"/>
      <c r="R41" s="53"/>
      <c r="S41" s="53"/>
      <c r="T41" s="54"/>
      <c r="U41" s="54"/>
      <c r="V41" s="54"/>
      <c r="W41" s="54"/>
      <c r="X41" s="54"/>
      <c r="Y41" s="54"/>
      <c r="Z41" s="54"/>
      <c r="AA41" s="54"/>
      <c r="AB41" s="54"/>
      <c r="AC41" s="54"/>
      <c r="AD41" s="54"/>
      <c r="AE41" s="54"/>
      <c r="AF41" s="54"/>
      <c r="AG41" s="25"/>
      <c r="AH41" s="25"/>
    </row>
    <row r="42" spans="1:34" x14ac:dyDescent="0.3">
      <c r="A42" s="9"/>
      <c r="B42" s="9"/>
      <c r="C42" s="9"/>
      <c r="D42" s="9"/>
      <c r="E42" s="25"/>
      <c r="F42" s="25"/>
      <c r="G42" s="25"/>
      <c r="H42" s="25"/>
      <c r="I42" s="25"/>
      <c r="J42" s="25"/>
      <c r="K42" s="25"/>
      <c r="L42" s="25"/>
      <c r="M42" s="25"/>
      <c r="N42" s="25"/>
      <c r="O42" s="53"/>
      <c r="P42" s="53"/>
      <c r="Q42" s="53"/>
      <c r="R42" s="53"/>
      <c r="S42" s="53"/>
      <c r="T42" s="54"/>
      <c r="U42" s="54"/>
      <c r="V42" s="54"/>
      <c r="W42" s="54"/>
      <c r="X42" s="54"/>
      <c r="Y42" s="54"/>
      <c r="Z42" s="54"/>
      <c r="AA42" s="54"/>
      <c r="AB42" s="54"/>
      <c r="AC42" s="54"/>
      <c r="AD42" s="54"/>
      <c r="AE42" s="54"/>
      <c r="AF42" s="54"/>
      <c r="AG42" s="25"/>
      <c r="AH42" s="25"/>
    </row>
    <row r="43" spans="1:34" x14ac:dyDescent="0.3">
      <c r="A43" s="9"/>
      <c r="B43" s="9"/>
      <c r="C43" s="9"/>
      <c r="D43" s="9"/>
      <c r="E43" s="25"/>
      <c r="F43" s="25"/>
      <c r="G43" s="25"/>
      <c r="H43" s="25"/>
      <c r="I43" s="25"/>
      <c r="J43" s="25"/>
      <c r="K43" s="25"/>
      <c r="L43" s="25"/>
      <c r="M43" s="25"/>
      <c r="N43" s="25"/>
      <c r="O43" s="53"/>
      <c r="P43" s="53"/>
      <c r="Q43" s="53"/>
      <c r="R43" s="53"/>
      <c r="S43" s="53"/>
      <c r="T43" s="54"/>
      <c r="U43" s="54"/>
      <c r="V43" s="54"/>
      <c r="W43" s="54"/>
      <c r="X43" s="54"/>
      <c r="Y43" s="54"/>
      <c r="Z43" s="54"/>
      <c r="AA43" s="54"/>
      <c r="AB43" s="54"/>
      <c r="AC43" s="54"/>
      <c r="AD43" s="54"/>
      <c r="AE43" s="54"/>
      <c r="AF43" s="54"/>
      <c r="AG43" s="25"/>
      <c r="AH43" s="25"/>
    </row>
    <row r="44" spans="1:34" x14ac:dyDescent="0.3">
      <c r="A44" s="9"/>
      <c r="B44" s="9"/>
      <c r="C44" s="9"/>
      <c r="D44" s="9"/>
      <c r="E44" s="25"/>
      <c r="F44" s="25"/>
      <c r="G44" s="25"/>
      <c r="H44" s="25"/>
      <c r="I44" s="25"/>
      <c r="J44" s="25"/>
      <c r="K44" s="25"/>
      <c r="L44" s="25"/>
      <c r="M44" s="25"/>
      <c r="N44" s="25"/>
      <c r="O44" s="53"/>
      <c r="P44" s="53"/>
      <c r="Q44" s="53"/>
      <c r="R44" s="53"/>
      <c r="S44" s="53"/>
      <c r="T44" s="54"/>
      <c r="U44" s="54"/>
      <c r="V44" s="54"/>
      <c r="W44" s="54"/>
      <c r="X44" s="54"/>
      <c r="Y44" s="54"/>
      <c r="Z44" s="54"/>
      <c r="AA44" s="54"/>
      <c r="AB44" s="54"/>
      <c r="AC44" s="54"/>
      <c r="AD44" s="54"/>
      <c r="AE44" s="54"/>
      <c r="AF44" s="54"/>
      <c r="AG44" s="25"/>
      <c r="AH44" s="25"/>
    </row>
    <row r="45" spans="1:34" x14ac:dyDescent="0.3">
      <c r="A45" s="9"/>
      <c r="B45" s="9"/>
      <c r="C45" s="9"/>
      <c r="D45" s="9"/>
      <c r="E45" s="25"/>
      <c r="F45" s="25"/>
      <c r="G45" s="25"/>
      <c r="H45" s="25"/>
      <c r="I45" s="25"/>
      <c r="J45" s="25"/>
      <c r="K45" s="25"/>
      <c r="L45" s="25"/>
      <c r="M45" s="25"/>
      <c r="N45" s="25"/>
      <c r="O45" s="53"/>
      <c r="P45" s="53"/>
      <c r="Q45" s="53"/>
      <c r="R45" s="53"/>
      <c r="S45" s="53"/>
      <c r="T45" s="54"/>
      <c r="U45" s="54"/>
      <c r="V45" s="54"/>
      <c r="W45" s="54"/>
      <c r="X45" s="54"/>
      <c r="Y45" s="54"/>
      <c r="Z45" s="54"/>
      <c r="AA45" s="54"/>
      <c r="AB45" s="54"/>
      <c r="AC45" s="54"/>
      <c r="AD45" s="54"/>
      <c r="AE45" s="54"/>
      <c r="AF45" s="54"/>
      <c r="AG45" s="25"/>
      <c r="AH45" s="25"/>
    </row>
    <row r="46" spans="1:34" x14ac:dyDescent="0.3">
      <c r="A46" s="9"/>
      <c r="B46" s="9"/>
      <c r="C46" s="9"/>
      <c r="D46" s="9"/>
      <c r="E46" s="25"/>
      <c r="F46" s="25"/>
      <c r="G46" s="25"/>
      <c r="H46" s="25"/>
      <c r="I46" s="25"/>
      <c r="J46" s="25"/>
      <c r="K46" s="25"/>
      <c r="L46" s="25"/>
      <c r="M46" s="25"/>
      <c r="N46" s="25"/>
      <c r="O46" s="53"/>
      <c r="P46" s="53"/>
      <c r="Q46" s="53"/>
      <c r="R46" s="53"/>
      <c r="S46" s="53"/>
      <c r="T46" s="54"/>
      <c r="U46" s="54"/>
      <c r="V46" s="54"/>
      <c r="W46" s="54"/>
      <c r="X46" s="54"/>
      <c r="Y46" s="54"/>
      <c r="Z46" s="54"/>
      <c r="AA46" s="54"/>
      <c r="AB46" s="54"/>
      <c r="AC46" s="54"/>
      <c r="AD46" s="54"/>
      <c r="AE46" s="54"/>
      <c r="AF46" s="54"/>
      <c r="AG46" s="25"/>
      <c r="AH46" s="25"/>
    </row>
    <row r="47" spans="1:34" x14ac:dyDescent="0.3">
      <c r="A47" s="9"/>
      <c r="B47" s="9"/>
      <c r="C47" s="9"/>
      <c r="D47" s="9"/>
      <c r="E47" s="25"/>
      <c r="F47" s="25"/>
      <c r="G47" s="25"/>
      <c r="H47" s="25"/>
      <c r="I47" s="25"/>
      <c r="J47" s="25"/>
      <c r="K47" s="25"/>
      <c r="L47" s="25"/>
      <c r="M47" s="25"/>
      <c r="N47" s="25"/>
      <c r="O47" s="53"/>
      <c r="P47" s="53"/>
      <c r="Q47" s="53"/>
      <c r="R47" s="53"/>
      <c r="S47" s="53"/>
      <c r="T47" s="54"/>
      <c r="U47" s="54"/>
      <c r="V47" s="54"/>
      <c r="W47" s="54"/>
      <c r="X47" s="54"/>
      <c r="Y47" s="54"/>
      <c r="Z47" s="54"/>
      <c r="AA47" s="54"/>
      <c r="AB47" s="54"/>
      <c r="AC47" s="54"/>
      <c r="AD47" s="54"/>
      <c r="AE47" s="54"/>
      <c r="AF47" s="54"/>
      <c r="AG47" s="25"/>
      <c r="AH47" s="25"/>
    </row>
    <row r="48" spans="1:34" x14ac:dyDescent="0.3">
      <c r="A48" s="9"/>
      <c r="B48" s="9"/>
      <c r="C48" s="9"/>
      <c r="D48" s="9"/>
      <c r="E48" s="25"/>
      <c r="F48" s="25"/>
      <c r="G48" s="25"/>
      <c r="H48" s="25"/>
      <c r="I48" s="25"/>
      <c r="J48" s="25"/>
      <c r="K48" s="25"/>
      <c r="L48" s="25"/>
      <c r="M48" s="25"/>
      <c r="N48" s="25"/>
      <c r="O48" s="53"/>
      <c r="P48" s="53"/>
      <c r="Q48" s="53"/>
      <c r="R48" s="53"/>
      <c r="S48" s="53"/>
      <c r="T48" s="54"/>
      <c r="U48" s="54"/>
      <c r="V48" s="54"/>
      <c r="W48" s="54"/>
      <c r="X48" s="54"/>
      <c r="Y48" s="54"/>
      <c r="Z48" s="54"/>
      <c r="AA48" s="54"/>
      <c r="AB48" s="54"/>
      <c r="AC48" s="54"/>
      <c r="AD48" s="54"/>
      <c r="AE48" s="54"/>
      <c r="AF48" s="54"/>
      <c r="AG48" s="25"/>
      <c r="AH48" s="25"/>
    </row>
    <row r="49" spans="1:34" x14ac:dyDescent="0.3">
      <c r="A49" s="9"/>
      <c r="B49" s="9"/>
      <c r="C49" s="9"/>
      <c r="D49" s="9"/>
      <c r="E49" s="25"/>
      <c r="F49" s="25"/>
      <c r="G49" s="25"/>
      <c r="H49" s="25"/>
      <c r="I49" s="25"/>
      <c r="J49" s="25"/>
      <c r="K49" s="25"/>
      <c r="L49" s="25"/>
      <c r="M49" s="25"/>
      <c r="N49" s="25"/>
      <c r="O49" s="53"/>
      <c r="P49" s="53"/>
      <c r="Q49" s="53"/>
      <c r="R49" s="53"/>
      <c r="S49" s="53"/>
      <c r="T49" s="54"/>
      <c r="U49" s="54"/>
      <c r="V49" s="54"/>
      <c r="W49" s="54"/>
      <c r="X49" s="54"/>
      <c r="Y49" s="54"/>
      <c r="Z49" s="54"/>
      <c r="AA49" s="54"/>
      <c r="AB49" s="54"/>
      <c r="AC49" s="54"/>
      <c r="AD49" s="54"/>
      <c r="AE49" s="54"/>
      <c r="AF49" s="54"/>
      <c r="AG49" s="25"/>
      <c r="AH49" s="25"/>
    </row>
    <row r="50" spans="1:34" x14ac:dyDescent="0.3">
      <c r="A50" s="9"/>
      <c r="B50" s="9"/>
      <c r="C50" s="9"/>
      <c r="D50" s="9"/>
      <c r="E50" s="25"/>
      <c r="F50" s="25"/>
      <c r="G50" s="25"/>
      <c r="H50" s="25"/>
      <c r="I50" s="25"/>
      <c r="J50" s="25"/>
      <c r="K50" s="25"/>
      <c r="L50" s="25"/>
      <c r="M50" s="25"/>
      <c r="N50" s="25"/>
      <c r="O50" s="53"/>
      <c r="P50" s="53"/>
      <c r="Q50" s="53"/>
      <c r="R50" s="53"/>
      <c r="S50" s="53"/>
      <c r="T50" s="54"/>
      <c r="U50" s="54"/>
      <c r="V50" s="54"/>
      <c r="W50" s="54"/>
      <c r="X50" s="54"/>
      <c r="Y50" s="54"/>
      <c r="Z50" s="54"/>
      <c r="AA50" s="54"/>
      <c r="AB50" s="54"/>
      <c r="AC50" s="54"/>
      <c r="AD50" s="54"/>
      <c r="AE50" s="54"/>
      <c r="AF50" s="54"/>
      <c r="AG50" s="25"/>
      <c r="AH50" s="25"/>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Header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lijie sun</dc:creator>
  <cp:lastModifiedBy>Lijie Sun</cp:lastModifiedBy>
  <dcterms:created xsi:type="dcterms:W3CDTF">2024-11-18T16:08:47Z</dcterms:created>
  <dcterms:modified xsi:type="dcterms:W3CDTF">2026-03-01T01:17:00Z</dcterms:modified>
</cp:coreProperties>
</file>