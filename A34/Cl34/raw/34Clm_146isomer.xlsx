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ND\ENSDF\A34\Cl34\raw\"/>
    </mc:Choice>
  </mc:AlternateContent>
  <xr:revisionPtr revIDLastSave="0" documentId="13_ncr:1_{C9FB1A2D-1EA9-4055-89ED-FA329C10806F}" xr6:coauthVersionLast="47" xr6:coauthVersionMax="47" xr10:uidLastSave="{00000000-0000-0000-0000-000000000000}"/>
  <bookViews>
    <workbookView xWindow="-108" yWindow="-108" windowWidth="23256" windowHeight="12720" xr2:uid="{64E99CE1-442C-4A7F-8B3B-37F466BBE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I7" i="1" s="1"/>
  <c r="B19" i="1"/>
  <c r="B22" i="1"/>
  <c r="B23" i="1" s="1"/>
  <c r="B24" i="1" s="1"/>
  <c r="B11" i="1"/>
  <c r="B6" i="1"/>
  <c r="B7" i="1"/>
  <c r="B8" i="1" s="1"/>
  <c r="D3" i="1" s="1"/>
  <c r="F3" i="1" s="1"/>
  <c r="B14" i="1"/>
  <c r="B15" i="1" s="1"/>
  <c r="I8" i="1" l="1"/>
  <c r="K3" i="1" s="1"/>
  <c r="M3" i="1" s="1"/>
  <c r="K7" i="1"/>
  <c r="D23" i="1"/>
  <c r="D19" i="1"/>
  <c r="F19" i="1" s="1"/>
  <c r="B16" i="1"/>
  <c r="D11" i="1" s="1"/>
  <c r="F11" i="1" s="1"/>
  <c r="D7" i="1"/>
  <c r="D15" i="1"/>
</calcChain>
</file>

<file path=xl/sharedStrings.xml><?xml version="1.0" encoding="utf-8"?>
<sst xmlns="http://schemas.openxmlformats.org/spreadsheetml/2006/main" count="37" uniqueCount="13">
  <si>
    <t>34Clm</t>
  </si>
  <si>
    <t>EC+β+ Iγ in to 34S g.s.</t>
  </si>
  <si>
    <t>IT Iγ to 34Cl g.s.</t>
  </si>
  <si>
    <t>IT Ice to 34Cl g.s.</t>
  </si>
  <si>
    <t>IT to 34Cl g.s.</t>
  </si>
  <si>
    <t>Sum</t>
  </si>
  <si>
    <t>CC</t>
  </si>
  <si>
    <t>NR</t>
  </si>
  <si>
    <t>1980Wi13</t>
  </si>
  <si>
    <t>1975Va02</t>
  </si>
  <si>
    <t>Adjusted</t>
  </si>
  <si>
    <t>Evaluated</t>
  </si>
  <si>
    <t>Red numbers are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</si>
</sst>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"/>
    <numFmt numFmtId="167" formatCode="0.00000"/>
    <numFmt numFmtId="168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0" fillId="2" borderId="0" xfId="1" applyNumberFormat="1" applyFont="1" applyFill="1" applyAlignment="1">
      <alignment horizontal="left" vertical="center"/>
    </xf>
    <xf numFmtId="167" fontId="0" fillId="2" borderId="0" xfId="0" applyNumberFormat="1" applyFill="1" applyAlignment="1">
      <alignment horizontal="left" vertical="center"/>
    </xf>
    <xf numFmtId="166" fontId="0" fillId="2" borderId="0" xfId="0" applyNumberFormat="1" applyFill="1" applyAlignment="1">
      <alignment horizontal="left" vertical="center"/>
    </xf>
    <xf numFmtId="165" fontId="0" fillId="2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0" fillId="3" borderId="0" xfId="1" applyNumberFormat="1" applyFont="1" applyFill="1" applyAlignment="1">
      <alignment horizontal="left" vertical="center"/>
    </xf>
    <xf numFmtId="167" fontId="0" fillId="3" borderId="0" xfId="0" applyNumberForma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6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164" fontId="0" fillId="4" borderId="0" xfId="1" applyNumberFormat="1" applyFont="1" applyFill="1" applyAlignment="1">
      <alignment horizontal="left" vertical="center"/>
    </xf>
    <xf numFmtId="167" fontId="0" fillId="4" borderId="0" xfId="0" applyNumberFormat="1" applyFill="1" applyAlignment="1">
      <alignment horizontal="left" vertical="center"/>
    </xf>
    <xf numFmtId="165" fontId="2" fillId="4" borderId="0" xfId="0" applyNumberFormat="1" applyFont="1" applyFill="1" applyAlignment="1">
      <alignment horizontal="left" vertical="center"/>
    </xf>
    <xf numFmtId="165" fontId="0" fillId="4" borderId="0" xfId="0" applyNumberFormat="1" applyFill="1" applyAlignment="1">
      <alignment horizontal="left" vertical="center"/>
    </xf>
    <xf numFmtId="166" fontId="0" fillId="4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164" fontId="0" fillId="5" borderId="0" xfId="1" applyNumberFormat="1" applyFont="1" applyFill="1" applyAlignment="1">
      <alignment horizontal="left" vertical="center"/>
    </xf>
    <xf numFmtId="167" fontId="0" fillId="5" borderId="0" xfId="0" applyNumberFormat="1" applyFill="1" applyAlignment="1">
      <alignment horizontal="left" vertical="center"/>
    </xf>
    <xf numFmtId="168" fontId="0" fillId="5" borderId="0" xfId="0" applyNumberFormat="1" applyFill="1" applyAlignment="1">
      <alignment horizontal="left" vertical="center"/>
    </xf>
    <xf numFmtId="2" fontId="0" fillId="5" borderId="0" xfId="0" applyNumberFormat="1" applyFill="1" applyAlignment="1">
      <alignment horizontal="left" vertical="center"/>
    </xf>
    <xf numFmtId="165" fontId="0" fillId="5" borderId="0" xfId="0" applyNumberForma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CC"/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FD4E-9B9E-4B69-B722-057952471005}">
  <dimension ref="A1:M24"/>
  <sheetViews>
    <sheetView tabSelected="1" zoomScaleNormal="100" workbookViewId="0">
      <selection activeCell="I7" sqref="I7:J7"/>
    </sheetView>
  </sheetViews>
  <sheetFormatPr defaultRowHeight="14.4" x14ac:dyDescent="0.3"/>
  <cols>
    <col min="1" max="1" width="19" style="1" bestFit="1" customWidth="1"/>
    <col min="2" max="2" width="9.21875" style="1" bestFit="1" customWidth="1"/>
    <col min="3" max="3" width="8" style="1" bestFit="1" customWidth="1"/>
    <col min="4" max="4" width="6" style="1" bestFit="1" customWidth="1"/>
    <col min="5" max="5" width="8.88671875" style="1"/>
    <col min="6" max="6" width="7.5546875" style="1" bestFit="1" customWidth="1"/>
    <col min="7" max="7" width="8.88671875" style="1"/>
    <col min="8" max="8" width="19" style="1" bestFit="1" customWidth="1"/>
    <col min="9" max="9" width="9.21875" style="1" bestFit="1" customWidth="1"/>
    <col min="10" max="10" width="9" style="1" bestFit="1" customWidth="1"/>
    <col min="11" max="11" width="6" style="1" bestFit="1" customWidth="1"/>
    <col min="12" max="12" width="5" style="1" bestFit="1" customWidth="1"/>
    <col min="13" max="13" width="7.5546875" style="1" bestFit="1" customWidth="1"/>
    <col min="14" max="16384" width="8.88671875" style="1"/>
  </cols>
  <sheetData>
    <row r="1" spans="1:13" x14ac:dyDescent="0.3">
      <c r="A1" s="29" t="s">
        <v>12</v>
      </c>
    </row>
    <row r="2" spans="1:13" x14ac:dyDescent="0.3">
      <c r="A2" s="2" t="s">
        <v>0</v>
      </c>
      <c r="B2" s="2" t="s">
        <v>8</v>
      </c>
      <c r="C2" s="2"/>
      <c r="D2" s="2"/>
      <c r="E2" s="2"/>
      <c r="F2" s="2" t="s">
        <v>7</v>
      </c>
      <c r="H2" s="22" t="s">
        <v>0</v>
      </c>
      <c r="I2" s="22" t="s">
        <v>8</v>
      </c>
      <c r="J2" s="22" t="s">
        <v>11</v>
      </c>
      <c r="K2" s="22"/>
      <c r="L2" s="22"/>
      <c r="M2" s="22" t="s">
        <v>7</v>
      </c>
    </row>
    <row r="3" spans="1:13" x14ac:dyDescent="0.3">
      <c r="A3" s="2" t="s">
        <v>1</v>
      </c>
      <c r="B3" s="3">
        <v>129.30000000000001</v>
      </c>
      <c r="C3" s="2">
        <v>1.2</v>
      </c>
      <c r="D3" s="4">
        <f>B3/B8</f>
        <v>0.5546023848331475</v>
      </c>
      <c r="E3" s="2"/>
      <c r="F3" s="5">
        <f>D3/B3</f>
        <v>4.2892682508364069E-3</v>
      </c>
      <c r="H3" s="22" t="s">
        <v>1</v>
      </c>
      <c r="I3" s="23">
        <v>129.30000000000001</v>
      </c>
      <c r="J3" s="22">
        <v>1.2</v>
      </c>
      <c r="K3" s="24">
        <f>I3/I8</f>
        <v>0.54025226145501926</v>
      </c>
      <c r="L3" s="24">
        <v>4.4000000000000003E-3</v>
      </c>
      <c r="M3" s="25">
        <f>K3/I3</f>
        <v>4.1782850847255932E-3</v>
      </c>
    </row>
    <row r="4" spans="1:13" x14ac:dyDescent="0.3">
      <c r="A4" s="2" t="s">
        <v>2</v>
      </c>
      <c r="B4" s="3">
        <v>94.4</v>
      </c>
      <c r="C4" s="2">
        <v>1.4</v>
      </c>
      <c r="D4" s="2"/>
      <c r="E4" s="2"/>
      <c r="F4" s="2"/>
      <c r="H4" s="22" t="s">
        <v>2</v>
      </c>
      <c r="I4" s="23">
        <v>94.4</v>
      </c>
      <c r="J4" s="22">
        <v>1.4</v>
      </c>
      <c r="K4" s="22"/>
      <c r="L4" s="22"/>
      <c r="M4" s="22"/>
    </row>
    <row r="5" spans="1:13" x14ac:dyDescent="0.3">
      <c r="A5" s="2" t="s">
        <v>6</v>
      </c>
      <c r="B5" s="6">
        <v>0.1</v>
      </c>
      <c r="C5" s="2">
        <v>8.9999999999999993E-3</v>
      </c>
      <c r="D5" s="2"/>
      <c r="E5" s="2"/>
      <c r="F5" s="2"/>
      <c r="H5" s="22" t="s">
        <v>6</v>
      </c>
      <c r="I5" s="26">
        <v>0.1656</v>
      </c>
      <c r="J5" s="22">
        <v>2.3999999999999998E-3</v>
      </c>
      <c r="K5" s="22"/>
      <c r="L5" s="22"/>
      <c r="M5" s="22"/>
    </row>
    <row r="6" spans="1:13" x14ac:dyDescent="0.3">
      <c r="A6" s="2" t="s">
        <v>3</v>
      </c>
      <c r="B6" s="2">
        <f>B4*B5</f>
        <v>9.4400000000000013</v>
      </c>
      <c r="C6" s="2"/>
      <c r="D6" s="2"/>
      <c r="E6" s="2"/>
      <c r="F6" s="2"/>
      <c r="H6" s="22" t="s">
        <v>3</v>
      </c>
      <c r="I6" s="27">
        <f>I4*I5</f>
        <v>15.63264</v>
      </c>
      <c r="J6" s="22">
        <v>0.32</v>
      </c>
      <c r="K6" s="22"/>
      <c r="L6" s="22"/>
      <c r="M6" s="22"/>
    </row>
    <row r="7" spans="1:13" x14ac:dyDescent="0.3">
      <c r="A7" s="2" t="s">
        <v>4</v>
      </c>
      <c r="B7" s="7">
        <f>B4+B6</f>
        <v>103.84</v>
      </c>
      <c r="C7" s="2"/>
      <c r="D7" s="4">
        <f>B7/B8</f>
        <v>0.4453976151668525</v>
      </c>
      <c r="E7" s="2"/>
      <c r="F7" s="2"/>
      <c r="H7" s="22" t="s">
        <v>4</v>
      </c>
      <c r="I7" s="28">
        <f>I4+I6</f>
        <v>110.03264</v>
      </c>
      <c r="J7" s="28">
        <v>1.65</v>
      </c>
      <c r="K7" s="24">
        <f>I7/I8</f>
        <v>0.45974773854498069</v>
      </c>
      <c r="L7" s="24">
        <v>4.4000000000000003E-3</v>
      </c>
      <c r="M7" s="22"/>
    </row>
    <row r="8" spans="1:13" x14ac:dyDescent="0.3">
      <c r="A8" s="2" t="s">
        <v>5</v>
      </c>
      <c r="B8" s="2">
        <f>B3+B7</f>
        <v>233.14000000000001</v>
      </c>
      <c r="C8" s="2"/>
      <c r="D8" s="2"/>
      <c r="E8" s="2"/>
      <c r="F8" s="2"/>
      <c r="H8" s="22" t="s">
        <v>5</v>
      </c>
      <c r="I8" s="27">
        <f>I3+I7</f>
        <v>239.33264000000003</v>
      </c>
      <c r="J8" s="22">
        <v>2.04</v>
      </c>
      <c r="K8" s="22"/>
      <c r="L8" s="22"/>
      <c r="M8" s="22"/>
    </row>
    <row r="10" spans="1:13" x14ac:dyDescent="0.3">
      <c r="A10" s="15" t="s">
        <v>0</v>
      </c>
      <c r="B10" s="15" t="s">
        <v>9</v>
      </c>
      <c r="C10" s="15"/>
      <c r="D10" s="15"/>
      <c r="E10" s="15"/>
      <c r="F10" s="15"/>
    </row>
    <row r="11" spans="1:13" x14ac:dyDescent="0.3">
      <c r="A11" s="15" t="s">
        <v>1</v>
      </c>
      <c r="B11" s="16">
        <f>100+25.4+0.52</f>
        <v>125.92</v>
      </c>
      <c r="C11" s="15">
        <v>1.2</v>
      </c>
      <c r="D11" s="17">
        <f>B11/B16</f>
        <v>0.53126318454138899</v>
      </c>
      <c r="E11" s="15"/>
      <c r="F11" s="18">
        <f>D11/B11</f>
        <v>4.2190532444519452E-3</v>
      </c>
    </row>
    <row r="12" spans="1:13" x14ac:dyDescent="0.3">
      <c r="A12" s="15" t="s">
        <v>2</v>
      </c>
      <c r="B12" s="19">
        <v>101</v>
      </c>
      <c r="C12" s="20">
        <v>4</v>
      </c>
      <c r="D12" s="15"/>
      <c r="E12" s="15"/>
      <c r="F12" s="15"/>
    </row>
    <row r="13" spans="1:13" x14ac:dyDescent="0.3">
      <c r="A13" s="15" t="s">
        <v>6</v>
      </c>
      <c r="B13" s="21">
        <v>0.1</v>
      </c>
      <c r="C13" s="15">
        <v>8.9999999999999993E-3</v>
      </c>
      <c r="D13" s="15"/>
      <c r="E13" s="15"/>
      <c r="F13" s="15"/>
    </row>
    <row r="14" spans="1:13" x14ac:dyDescent="0.3">
      <c r="A14" s="15" t="s">
        <v>3</v>
      </c>
      <c r="B14" s="15">
        <f>B12*B13</f>
        <v>10.100000000000001</v>
      </c>
      <c r="C14" s="15"/>
      <c r="D14" s="15"/>
      <c r="E14" s="15"/>
      <c r="F14" s="15"/>
    </row>
    <row r="15" spans="1:13" x14ac:dyDescent="0.3">
      <c r="A15" s="15" t="s">
        <v>4</v>
      </c>
      <c r="B15" s="20">
        <f>B12+B14</f>
        <v>111.1</v>
      </c>
      <c r="C15" s="15"/>
      <c r="D15" s="17">
        <f>B15/B16</f>
        <v>0.46873681545861112</v>
      </c>
      <c r="E15" s="15"/>
      <c r="F15" s="15"/>
    </row>
    <row r="16" spans="1:13" x14ac:dyDescent="0.3">
      <c r="A16" s="15" t="s">
        <v>5</v>
      </c>
      <c r="B16" s="15">
        <f>B11+B15</f>
        <v>237.01999999999998</v>
      </c>
      <c r="C16" s="15"/>
      <c r="D16" s="15"/>
      <c r="E16" s="15"/>
      <c r="F16" s="15"/>
    </row>
    <row r="18" spans="1:6" x14ac:dyDescent="0.3">
      <c r="A18" s="8" t="s">
        <v>0</v>
      </c>
      <c r="B18" s="8" t="s">
        <v>9</v>
      </c>
      <c r="C18" s="8" t="s">
        <v>10</v>
      </c>
      <c r="D18" s="8"/>
      <c r="E18" s="8"/>
      <c r="F18" s="8"/>
    </row>
    <row r="19" spans="1:6" x14ac:dyDescent="0.3">
      <c r="A19" s="8" t="s">
        <v>1</v>
      </c>
      <c r="B19" s="9">
        <f>100+27.3+0.61</f>
        <v>127.91</v>
      </c>
      <c r="C19" s="8">
        <v>1.2</v>
      </c>
      <c r="D19" s="10">
        <f>B19/B24</f>
        <v>0.5488050800188784</v>
      </c>
      <c r="E19" s="8"/>
      <c r="F19" s="11">
        <f>D19/B19</f>
        <v>4.2905564851761268E-3</v>
      </c>
    </row>
    <row r="20" spans="1:6" x14ac:dyDescent="0.3">
      <c r="A20" s="8" t="s">
        <v>2</v>
      </c>
      <c r="B20" s="12">
        <v>95.6</v>
      </c>
      <c r="C20" s="8">
        <v>1.9</v>
      </c>
      <c r="D20" s="8"/>
      <c r="E20" s="8"/>
      <c r="F20" s="8"/>
    </row>
    <row r="21" spans="1:6" x14ac:dyDescent="0.3">
      <c r="A21" s="8" t="s">
        <v>6</v>
      </c>
      <c r="B21" s="13">
        <v>0.1</v>
      </c>
      <c r="C21" s="8">
        <v>8.9999999999999993E-3</v>
      </c>
      <c r="D21" s="8"/>
      <c r="E21" s="8"/>
      <c r="F21" s="8"/>
    </row>
    <row r="22" spans="1:6" x14ac:dyDescent="0.3">
      <c r="A22" s="8" t="s">
        <v>3</v>
      </c>
      <c r="B22" s="8">
        <f>B20*B21</f>
        <v>9.56</v>
      </c>
      <c r="C22" s="8"/>
      <c r="D22" s="8"/>
      <c r="E22" s="8"/>
      <c r="F22" s="8"/>
    </row>
    <row r="23" spans="1:6" x14ac:dyDescent="0.3">
      <c r="A23" s="8" t="s">
        <v>4</v>
      </c>
      <c r="B23" s="14">
        <f>B20+B22</f>
        <v>105.16</v>
      </c>
      <c r="C23" s="8"/>
      <c r="D23" s="10">
        <f>B23/B24</f>
        <v>0.45119491998112154</v>
      </c>
      <c r="E23" s="8"/>
      <c r="F23" s="8"/>
    </row>
    <row r="24" spans="1:6" x14ac:dyDescent="0.3">
      <c r="A24" s="8" t="s">
        <v>5</v>
      </c>
      <c r="B24" s="8">
        <f>B19+B23</f>
        <v>233.07</v>
      </c>
      <c r="C24" s="8"/>
      <c r="D24" s="8"/>
      <c r="E24" s="8"/>
      <c r="F24" s="8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 Sun</dc:creator>
  <cp:lastModifiedBy>Lijie Sun</cp:lastModifiedBy>
  <dcterms:created xsi:type="dcterms:W3CDTF">2026-08-03T15:43:10Z</dcterms:created>
  <dcterms:modified xsi:type="dcterms:W3CDTF">2026-08-03T21:17:32Z</dcterms:modified>
</cp:coreProperties>
</file>