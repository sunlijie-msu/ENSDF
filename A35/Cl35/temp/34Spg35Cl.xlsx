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\ND\ENSDF\A35\Cl35\temp\"/>
    </mc:Choice>
  </mc:AlternateContent>
  <xr:revisionPtr revIDLastSave="0" documentId="13_ncr:1_{4F36C417-9885-411E-A59C-9291E9A411BF}" xr6:coauthVersionLast="47" xr6:coauthVersionMax="47" xr10:uidLastSave="{00000000-0000-0000-0000-000000000000}"/>
  <bookViews>
    <workbookView xWindow="-108" yWindow="-108" windowWidth="23256" windowHeight="12720" activeTab="6" xr2:uid="{C580B2C4-D120-4EC4-942B-ED4733C9AE26}"/>
  </bookViews>
  <sheets>
    <sheet name="1976SP08_Ep" sheetId="1" r:id="rId1"/>
    <sheet name="1976SP08_MR" sheetId="2" r:id="rId2"/>
    <sheet name="1976ME12_R" sheetId="4" r:id="rId3"/>
    <sheet name="1976ME12_B" sheetId="5" r:id="rId4"/>
    <sheet name="1973FA07" sheetId="6" r:id="rId5"/>
    <sheet name="1972HU10_R" sheetId="7" r:id="rId6"/>
    <sheet name="1972HU10_B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5" i="7" l="1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N54" i="7"/>
  <c r="AA55" i="7"/>
  <c r="O55" i="7"/>
  <c r="P55" i="7"/>
  <c r="Q55" i="7"/>
  <c r="R55" i="7"/>
  <c r="S55" i="7"/>
  <c r="T55" i="7"/>
  <c r="U55" i="7"/>
  <c r="V55" i="7"/>
  <c r="W55" i="7"/>
  <c r="X55" i="7"/>
  <c r="Y55" i="7"/>
  <c r="Z55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N57" i="7"/>
  <c r="N56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4" i="7"/>
  <c r="E38" i="7"/>
  <c r="E4" i="7"/>
  <c r="F5" i="7"/>
  <c r="E5" i="7" s="1"/>
  <c r="F6" i="7"/>
  <c r="E6" i="7" s="1"/>
  <c r="F7" i="7"/>
  <c r="E7" i="7" s="1"/>
  <c r="F8" i="7"/>
  <c r="E8" i="7" s="1"/>
  <c r="F9" i="7"/>
  <c r="E9" i="7" s="1"/>
  <c r="F10" i="7"/>
  <c r="E10" i="7" s="1"/>
  <c r="F11" i="7"/>
  <c r="E11" i="7" s="1"/>
  <c r="F12" i="7"/>
  <c r="E12" i="7" s="1"/>
  <c r="F13" i="7"/>
  <c r="E13" i="7" s="1"/>
  <c r="F14" i="7"/>
  <c r="E14" i="7" s="1"/>
  <c r="F15" i="7"/>
  <c r="E15" i="7" s="1"/>
  <c r="F16" i="7"/>
  <c r="F17" i="7"/>
  <c r="E17" i="7" s="1"/>
  <c r="F18" i="7"/>
  <c r="E18" i="7" s="1"/>
  <c r="F19" i="7"/>
  <c r="E19" i="7" s="1"/>
  <c r="F20" i="7"/>
  <c r="E20" i="7" s="1"/>
  <c r="F21" i="7"/>
  <c r="E21" i="7" s="1"/>
  <c r="F22" i="7"/>
  <c r="E22" i="7" s="1"/>
  <c r="F23" i="7"/>
  <c r="E23" i="7" s="1"/>
  <c r="F24" i="7"/>
  <c r="E24" i="7" s="1"/>
  <c r="F25" i="7"/>
  <c r="E25" i="7" s="1"/>
  <c r="F26" i="7"/>
  <c r="E26" i="7" s="1"/>
  <c r="F27" i="7"/>
  <c r="E27" i="7" s="1"/>
  <c r="F28" i="7"/>
  <c r="E28" i="7" s="1"/>
  <c r="F29" i="7"/>
  <c r="E29" i="7" s="1"/>
  <c r="F30" i="7"/>
  <c r="E30" i="7" s="1"/>
  <c r="F31" i="7"/>
  <c r="E31" i="7" s="1"/>
  <c r="F32" i="7"/>
  <c r="E32" i="7" s="1"/>
  <c r="F33" i="7"/>
  <c r="E33" i="7" s="1"/>
  <c r="F34" i="7"/>
  <c r="E34" i="7" s="1"/>
  <c r="F35" i="7"/>
  <c r="E35" i="7" s="1"/>
  <c r="F36" i="7"/>
  <c r="E36" i="7" s="1"/>
  <c r="F37" i="7"/>
  <c r="E37" i="7" s="1"/>
  <c r="F38" i="7"/>
  <c r="F39" i="7"/>
  <c r="E39" i="7" s="1"/>
  <c r="F40" i="7"/>
  <c r="E40" i="7" s="1"/>
  <c r="F41" i="7"/>
  <c r="E41" i="7" s="1"/>
  <c r="F42" i="7"/>
  <c r="E42" i="7" s="1"/>
  <c r="F43" i="7"/>
  <c r="E43" i="7" s="1"/>
  <c r="F44" i="7"/>
  <c r="E44" i="7" s="1"/>
  <c r="F45" i="7"/>
  <c r="E45" i="7" s="1"/>
  <c r="F46" i="7"/>
  <c r="E46" i="7" s="1"/>
  <c r="F47" i="7"/>
  <c r="E47" i="7" s="1"/>
  <c r="F48" i="7"/>
  <c r="E48" i="7" s="1"/>
  <c r="F49" i="7"/>
  <c r="E49" i="7" s="1"/>
  <c r="F50" i="7"/>
  <c r="E50" i="7" s="1"/>
  <c r="F51" i="7"/>
  <c r="E51" i="7" s="1"/>
  <c r="F52" i="7"/>
  <c r="E52" i="7" s="1"/>
  <c r="F53" i="7"/>
  <c r="E53" i="7" s="1"/>
  <c r="F54" i="7"/>
  <c r="E54" i="7" s="1"/>
  <c r="F55" i="7"/>
  <c r="E55" i="7" s="1"/>
  <c r="F56" i="7"/>
  <c r="E56" i="7" s="1"/>
  <c r="F57" i="7"/>
  <c r="E57" i="7" s="1"/>
  <c r="F58" i="7"/>
  <c r="E58" i="7" s="1"/>
  <c r="F59" i="7"/>
  <c r="E59" i="7" s="1"/>
  <c r="F60" i="7"/>
  <c r="E60" i="7" s="1"/>
  <c r="F61" i="7"/>
  <c r="E61" i="7" s="1"/>
  <c r="F4" i="7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R25" i="5"/>
  <c r="R26" i="5"/>
  <c r="R27" i="5"/>
  <c r="R28" i="5"/>
  <c r="R29" i="5"/>
  <c r="R30" i="5"/>
  <c r="R31" i="5"/>
  <c r="R32" i="5"/>
  <c r="R33" i="5"/>
  <c r="R34" i="5"/>
  <c r="R35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3" i="5"/>
  <c r="A23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8" i="4"/>
  <c r="A7" i="4"/>
  <c r="A6" i="4"/>
  <c r="A5" i="4"/>
  <c r="A4" i="4"/>
  <c r="A3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4" i="4"/>
  <c r="E13" i="4"/>
  <c r="E12" i="4"/>
  <c r="E11" i="4"/>
  <c r="E10" i="4"/>
  <c r="E9" i="4"/>
  <c r="E8" i="4"/>
  <c r="E7" i="4"/>
  <c r="E6" i="4"/>
  <c r="E5" i="4"/>
  <c r="E4" i="4"/>
  <c r="E3" i="4"/>
  <c r="E17" i="2"/>
  <c r="E15" i="2"/>
  <c r="E16" i="2"/>
  <c r="E14" i="2"/>
  <c r="E12" i="2"/>
  <c r="E13" i="2"/>
  <c r="E8" i="2"/>
  <c r="E9" i="2"/>
  <c r="E10" i="2"/>
  <c r="E11" i="2"/>
  <c r="E7" i="2"/>
  <c r="E5" i="2"/>
  <c r="E6" i="2"/>
  <c r="E2" i="2"/>
  <c r="E3" i="2"/>
  <c r="E4" i="2"/>
  <c r="D12" i="2"/>
  <c r="D15" i="2"/>
  <c r="D16" i="2"/>
  <c r="D14" i="2"/>
  <c r="D13" i="2"/>
  <c r="D8" i="2"/>
  <c r="D9" i="2"/>
  <c r="D10" i="2"/>
  <c r="D11" i="2"/>
  <c r="D7" i="2"/>
  <c r="D5" i="2"/>
  <c r="D6" i="2"/>
  <c r="D2" i="2"/>
  <c r="D3" i="2"/>
  <c r="D4" i="2"/>
  <c r="D17" i="2"/>
  <c r="C15" i="2"/>
  <c r="C16" i="2"/>
  <c r="C14" i="2"/>
  <c r="C12" i="2"/>
  <c r="C13" i="2"/>
  <c r="C8" i="2"/>
  <c r="C9" i="2"/>
  <c r="C10" i="2"/>
  <c r="C11" i="2"/>
  <c r="C7" i="2"/>
  <c r="C5" i="2"/>
  <c r="C6" i="2"/>
  <c r="C2" i="2"/>
  <c r="C3" i="2"/>
  <c r="C4" i="2"/>
  <c r="C17" i="2"/>
  <c r="F81" i="1"/>
  <c r="F82" i="1"/>
  <c r="I9" i="1"/>
  <c r="F9" i="1" s="1"/>
  <c r="I10" i="1"/>
  <c r="F10" i="1" s="1"/>
  <c r="I11" i="1"/>
  <c r="F11" i="1" s="1"/>
  <c r="I12" i="1"/>
  <c r="F12" i="1" s="1"/>
  <c r="I13" i="1"/>
  <c r="F13" i="1" s="1"/>
  <c r="I14" i="1"/>
  <c r="F14" i="1" s="1"/>
  <c r="I15" i="1"/>
  <c r="F15" i="1" s="1"/>
  <c r="I16" i="1"/>
  <c r="F16" i="1" s="1"/>
  <c r="I17" i="1"/>
  <c r="F17" i="1" s="1"/>
  <c r="I18" i="1"/>
  <c r="F18" i="1" s="1"/>
  <c r="I19" i="1"/>
  <c r="F19" i="1" s="1"/>
  <c r="I20" i="1"/>
  <c r="F20" i="1" s="1"/>
  <c r="I21" i="1"/>
  <c r="F21" i="1" s="1"/>
  <c r="I22" i="1"/>
  <c r="F22" i="1" s="1"/>
  <c r="I23" i="1"/>
  <c r="F23" i="1" s="1"/>
  <c r="I24" i="1"/>
  <c r="F24" i="1" s="1"/>
  <c r="I25" i="1"/>
  <c r="F25" i="1" s="1"/>
  <c r="I26" i="1"/>
  <c r="F26" i="1" s="1"/>
  <c r="I27" i="1"/>
  <c r="F27" i="1" s="1"/>
  <c r="I28" i="1"/>
  <c r="F28" i="1" s="1"/>
  <c r="I29" i="1"/>
  <c r="F29" i="1" s="1"/>
  <c r="I30" i="1"/>
  <c r="F30" i="1" s="1"/>
  <c r="I31" i="1"/>
  <c r="F31" i="1" s="1"/>
  <c r="I32" i="1"/>
  <c r="F32" i="1" s="1"/>
  <c r="I33" i="1"/>
  <c r="F33" i="1" s="1"/>
  <c r="I34" i="1"/>
  <c r="F34" i="1" s="1"/>
  <c r="I35" i="1"/>
  <c r="F35" i="1" s="1"/>
  <c r="I36" i="1"/>
  <c r="F36" i="1" s="1"/>
  <c r="I37" i="1"/>
  <c r="F37" i="1" s="1"/>
  <c r="I38" i="1"/>
  <c r="F38" i="1" s="1"/>
  <c r="I39" i="1"/>
  <c r="F39" i="1" s="1"/>
  <c r="I40" i="1"/>
  <c r="F40" i="1" s="1"/>
  <c r="I41" i="1"/>
  <c r="F41" i="1" s="1"/>
  <c r="I42" i="1"/>
  <c r="F42" i="1" s="1"/>
  <c r="I43" i="1"/>
  <c r="F43" i="1" s="1"/>
  <c r="I44" i="1"/>
  <c r="F44" i="1" s="1"/>
  <c r="I45" i="1"/>
  <c r="F45" i="1" s="1"/>
  <c r="I46" i="1"/>
  <c r="F46" i="1" s="1"/>
  <c r="I47" i="1"/>
  <c r="F47" i="1" s="1"/>
  <c r="I48" i="1"/>
  <c r="F48" i="1" s="1"/>
  <c r="I49" i="1"/>
  <c r="F49" i="1" s="1"/>
  <c r="I50" i="1"/>
  <c r="F50" i="1" s="1"/>
  <c r="I51" i="1"/>
  <c r="F51" i="1" s="1"/>
  <c r="I52" i="1"/>
  <c r="F52" i="1" s="1"/>
  <c r="I53" i="1"/>
  <c r="F53" i="1" s="1"/>
  <c r="I54" i="1"/>
  <c r="F54" i="1" s="1"/>
  <c r="I55" i="1"/>
  <c r="F55" i="1" s="1"/>
  <c r="I56" i="1"/>
  <c r="F56" i="1" s="1"/>
  <c r="I57" i="1"/>
  <c r="F57" i="1" s="1"/>
  <c r="I58" i="1"/>
  <c r="F58" i="1" s="1"/>
  <c r="I59" i="1"/>
  <c r="F59" i="1" s="1"/>
  <c r="I60" i="1"/>
  <c r="F60" i="1" s="1"/>
  <c r="I61" i="1"/>
  <c r="F61" i="1" s="1"/>
  <c r="I62" i="1"/>
  <c r="F62" i="1" s="1"/>
  <c r="I63" i="1"/>
  <c r="F63" i="1" s="1"/>
  <c r="I64" i="1"/>
  <c r="F64" i="1" s="1"/>
  <c r="I65" i="1"/>
  <c r="F65" i="1" s="1"/>
  <c r="I66" i="1"/>
  <c r="F66" i="1" s="1"/>
  <c r="I67" i="1"/>
  <c r="F67" i="1" s="1"/>
  <c r="I68" i="1"/>
  <c r="F68" i="1" s="1"/>
  <c r="I69" i="1"/>
  <c r="F69" i="1" s="1"/>
  <c r="I70" i="1"/>
  <c r="F70" i="1" s="1"/>
  <c r="I71" i="1"/>
  <c r="F71" i="1" s="1"/>
  <c r="I72" i="1"/>
  <c r="F72" i="1" s="1"/>
  <c r="I73" i="1"/>
  <c r="F73" i="1" s="1"/>
  <c r="I74" i="1"/>
  <c r="F74" i="1" s="1"/>
  <c r="I75" i="1"/>
  <c r="F75" i="1" s="1"/>
  <c r="I76" i="1"/>
  <c r="F76" i="1" s="1"/>
  <c r="I77" i="1"/>
  <c r="F77" i="1" s="1"/>
  <c r="I78" i="1"/>
  <c r="F78" i="1" s="1"/>
  <c r="I79" i="1"/>
  <c r="F79" i="1" s="1"/>
  <c r="I80" i="1"/>
  <c r="F80" i="1" s="1"/>
  <c r="I81" i="1"/>
  <c r="I82" i="1"/>
  <c r="I83" i="1"/>
  <c r="F83" i="1" s="1"/>
  <c r="I84" i="1"/>
  <c r="F84" i="1" s="1"/>
  <c r="I85" i="1"/>
  <c r="F85" i="1" s="1"/>
  <c r="I3" i="1"/>
  <c r="F3" i="1" s="1"/>
  <c r="I4" i="1"/>
  <c r="F4" i="1" s="1"/>
  <c r="I5" i="1"/>
  <c r="F5" i="1" s="1"/>
  <c r="I6" i="1"/>
  <c r="F6" i="1" s="1"/>
  <c r="I7" i="1"/>
  <c r="F7" i="1" s="1"/>
  <c r="I8" i="1"/>
  <c r="F8" i="1" s="1"/>
  <c r="I2" i="1"/>
  <c r="F2" i="1" s="1"/>
</calcChain>
</file>

<file path=xl/sharedStrings.xml><?xml version="1.0" encoding="utf-8"?>
<sst xmlns="http://schemas.openxmlformats.org/spreadsheetml/2006/main" count="515" uniqueCount="386">
  <si>
    <t>No.</t>
  </si>
  <si>
    <t>Ep</t>
  </si>
  <si>
    <t>DEp</t>
  </si>
  <si>
    <t>Ex</t>
  </si>
  <si>
    <t>wg</t>
  </si>
  <si>
    <t>wg_err</t>
  </si>
  <si>
    <t>Dwg</t>
  </si>
  <si>
    <t>Ei(MeV)</t>
  </si>
  <si>
    <t>Ef(MeV)</t>
  </si>
  <si>
    <t>delta</t>
  </si>
  <si>
    <t>0.07(2)</t>
  </si>
  <si>
    <t>-0.01(3)</t>
  </si>
  <si>
    <t>0.21(2)</t>
  </si>
  <si>
    <t>or</t>
  </si>
  <si>
    <t>0.46(25)</t>
  </si>
  <si>
    <t>-0.23(25)</t>
  </si>
  <si>
    <t>0.00(10)</t>
  </si>
  <si>
    <t>0.56(3)</t>
  </si>
  <si>
    <t>0.05(4)</t>
  </si>
  <si>
    <t>0.16(2)</t>
  </si>
  <si>
    <t>-0.34(3)</t>
  </si>
  <si>
    <t>-0.00(4)</t>
  </si>
  <si>
    <t>0.018(12)</t>
  </si>
  <si>
    <t>-0.23(6)</t>
  </si>
  <si>
    <t>-0.08(7)</t>
  </si>
  <si>
    <t>0.00(3)</t>
  </si>
  <si>
    <t>0.52(5)</t>
  </si>
  <si>
    <t>-0.02(6)</t>
  </si>
  <si>
    <t>-0.44(20)</t>
  </si>
  <si>
    <t>-0.387(7)</t>
  </si>
  <si>
    <t>0.012(8)</t>
  </si>
  <si>
    <t>0.011(3)</t>
  </si>
  <si>
    <t>0.43(2)</t>
  </si>
  <si>
    <t>-0.01(2)</t>
  </si>
  <si>
    <t>0.06(2)</t>
  </si>
  <si>
    <t>0.11(2)</t>
  </si>
  <si>
    <t>0.02(2)</t>
  </si>
  <si>
    <t>0.184(14)</t>
  </si>
  <si>
    <t>0.60(3)</t>
  </si>
  <si>
    <t>-0.08(4)</t>
  </si>
  <si>
    <t>-0.60(10)</t>
  </si>
  <si>
    <t>-0.12(2)</t>
  </si>
  <si>
    <t>-0.19(2)</t>
  </si>
  <si>
    <t>0.39(5)</t>
  </si>
  <si>
    <t>8.2(7)</t>
  </si>
  <si>
    <t>0.12(3)</t>
  </si>
  <si>
    <t>-0.02(4)</t>
  </si>
  <si>
    <t>0.34(2)</t>
  </si>
  <si>
    <t>5.0(4)</t>
  </si>
  <si>
    <t>-0.243(11)</t>
  </si>
  <si>
    <t>0.05(2)</t>
  </si>
  <si>
    <t>-0.089(9)</t>
  </si>
  <si>
    <t>0.555(14)</t>
  </si>
  <si>
    <t>0.03(2)</t>
  </si>
  <si>
    <t>-0.11(2)</t>
  </si>
  <si>
    <t>-0.43(2)</t>
  </si>
  <si>
    <t>0.05(3)</t>
  </si>
  <si>
    <t>0.002(9)</t>
  </si>
  <si>
    <t>Eg (keV)</t>
  </si>
  <si>
    <t>Ei(keV)</t>
  </si>
  <si>
    <t>A2</t>
  </si>
  <si>
    <t>A4</t>
  </si>
  <si>
    <t>-20(+5-10)</t>
  </si>
  <si>
    <t>Ep_keV</t>
  </si>
  <si>
    <t>Ex_keV</t>
  </si>
  <si>
    <t>dEp_keV</t>
  </si>
  <si>
    <t>|w|g_eV</t>
  </si>
  <si>
    <t>d|w|g_eV</t>
  </si>
  <si>
    <t xml:space="preserve"> 5.40(1.7)</t>
  </si>
  <si>
    <t xml:space="preserve"> 4.86(2)</t>
  </si>
  <si>
    <t xml:space="preserve"> 5.40(0.9)</t>
  </si>
  <si>
    <t xml:space="preserve"> 5.66(0.8)</t>
  </si>
  <si>
    <t xml:space="preserve"> 5.68(2.0)</t>
  </si>
  <si>
    <t xml:space="preserve"> 5.01(1.4)</t>
  </si>
  <si>
    <t xml:space="preserve"> 5.40(0.2)</t>
  </si>
  <si>
    <t xml:space="preserve"> 5.01(0.6)</t>
  </si>
  <si>
    <t xml:space="preserve"> 5.01(2)</t>
  </si>
  <si>
    <t xml:space="preserve"> 5.60(2)</t>
  </si>
  <si>
    <t xml:space="preserve"> 4.77(1.3)</t>
  </si>
  <si>
    <t xml:space="preserve"> 4.84(2)</t>
  </si>
  <si>
    <t xml:space="preserve"> 4.89(2)</t>
  </si>
  <si>
    <t xml:space="preserve"> 5.17(0.7)</t>
  </si>
  <si>
    <t xml:space="preserve"> 5.22(2)</t>
  </si>
  <si>
    <t xml:space="preserve"> 4.77(1.0)</t>
  </si>
  <si>
    <t xml:space="preserve"> 4.89(1.2)</t>
  </si>
  <si>
    <t xml:space="preserve"> 5.17(4)</t>
  </si>
  <si>
    <t xml:space="preserve"> 5.22(0.7)</t>
  </si>
  <si>
    <t xml:space="preserve"> 5.40(2)</t>
  </si>
  <si>
    <t xml:space="preserve"> 4.84(1.3)</t>
  </si>
  <si>
    <t xml:space="preserve"> 4.89(0.4)</t>
  </si>
  <si>
    <t xml:space="preserve"> 5.17(1.1)</t>
  </si>
  <si>
    <t xml:space="preserve"> 4.77(7)</t>
  </si>
  <si>
    <t xml:space="preserve"> 5.22(1.5)</t>
  </si>
  <si>
    <t xml:space="preserve"> 4.86(1.3)</t>
  </si>
  <si>
    <t>&lt;0.8</t>
  </si>
  <si>
    <t>&lt;1.3</t>
  </si>
  <si>
    <t>&lt;3</t>
  </si>
  <si>
    <t>5.17(0.9)</t>
  </si>
  <si>
    <t>5.66(0.2)</t>
  </si>
  <si>
    <t>4.35(11)</t>
  </si>
  <si>
    <t xml:space="preserve"> 4.77(2)</t>
  </si>
  <si>
    <t>4.77(2)</t>
  </si>
  <si>
    <t>4.84(1.5)</t>
  </si>
  <si>
    <t xml:space="preserve"> 6.11(3)</t>
  </si>
  <si>
    <t>4.84(1.8)</t>
  </si>
  <si>
    <t xml:space="preserve"> 5.01(0.8)</t>
  </si>
  <si>
    <t>5.22(7)</t>
  </si>
  <si>
    <t>4.84(1.0)</t>
  </si>
  <si>
    <t xml:space="preserve"> 5.76(1.2)</t>
  </si>
  <si>
    <t xml:space="preserve"> 5.66(0.3)</t>
  </si>
  <si>
    <t>5.01(2)</t>
  </si>
  <si>
    <t xml:space="preserve"> 6.11(7)</t>
  </si>
  <si>
    <t>4.77(1.3)</t>
  </si>
  <si>
    <t xml:space="preserve"> 5.59(0.1)</t>
  </si>
  <si>
    <t xml:space="preserve"> 5.65(0.6)</t>
  </si>
  <si>
    <t>4.62(1.8)</t>
  </si>
  <si>
    <t>4.84(0.7)</t>
  </si>
  <si>
    <t xml:space="preserve"> 6.18(0.6)</t>
  </si>
  <si>
    <t>4.35(6)</t>
  </si>
  <si>
    <t>5.01(0.6)</t>
  </si>
  <si>
    <t>4.62(0.8)</t>
  </si>
  <si>
    <t xml:space="preserve"> 5.66(4)</t>
  </si>
  <si>
    <t xml:space="preserve"> 4.89(20)</t>
  </si>
  <si>
    <t>4.77(3)</t>
  </si>
  <si>
    <t xml:space="preserve"> 5.66(0.5)</t>
  </si>
  <si>
    <t>4.35(2)</t>
  </si>
  <si>
    <t xml:space="preserve"> 6.11(1.4)</t>
  </si>
  <si>
    <t>4.84(1.1)</t>
  </si>
  <si>
    <t>5.22(1.4)</t>
  </si>
  <si>
    <t xml:space="preserve"> 5.60(0.5)</t>
  </si>
  <si>
    <t xml:space="preserve"> 6.18(0.5)</t>
  </si>
  <si>
    <t>5.01(3)</t>
  </si>
  <si>
    <t xml:space="preserve"> 5.22(1.0)</t>
  </si>
  <si>
    <t>4.62(2)</t>
  </si>
  <si>
    <t xml:space="preserve"> 4.84(1.7)</t>
  </si>
  <si>
    <t xml:space="preserve"> 5.66(12)</t>
  </si>
  <si>
    <t>4.62(0.5)</t>
  </si>
  <si>
    <t xml:space="preserve"> 4.89(0.8)</t>
  </si>
  <si>
    <t xml:space="preserve"> 5.17(0.9)</t>
  </si>
  <si>
    <t xml:space="preserve"> 5.65(1.5)</t>
  </si>
  <si>
    <t>4.62(1.9)</t>
  </si>
  <si>
    <t xml:space="preserve"> 4.84(1.4)</t>
  </si>
  <si>
    <t>4.35(8)</t>
  </si>
  <si>
    <t xml:space="preserve"> 4.77(5)</t>
  </si>
  <si>
    <t xml:space="preserve"> 4.89(10)</t>
  </si>
  <si>
    <t xml:space="preserve"> 5.22(3)</t>
  </si>
  <si>
    <t xml:space="preserve"> 5.59(3)</t>
  </si>
  <si>
    <t>5.66(1.7)</t>
  </si>
  <si>
    <t>5.17(1.5)</t>
  </si>
  <si>
    <t xml:space="preserve"> 5.40(3)</t>
  </si>
  <si>
    <t xml:space="preserve"> 5.60(1.1)</t>
  </si>
  <si>
    <t xml:space="preserve"> 5.81(0.6)</t>
  </si>
  <si>
    <t>4.35(1.9)</t>
  </si>
  <si>
    <t xml:space="preserve"> 4.77(8)</t>
  </si>
  <si>
    <t xml:space="preserve"> 4.89(0.7)</t>
  </si>
  <si>
    <t xml:space="preserve"> 5.22(0.8)</t>
  </si>
  <si>
    <t>4.84(3)</t>
  </si>
  <si>
    <t xml:space="preserve"> 4.89(0.6)</t>
  </si>
  <si>
    <t xml:space="preserve"> 5.66(1.8)</t>
  </si>
  <si>
    <t>4.62(3)</t>
  </si>
  <si>
    <t xml:space="preserve"> 4.84(1.6)</t>
  </si>
  <si>
    <t xml:space="preserve"> 4.86(0.6)</t>
  </si>
  <si>
    <t>4.77(4)</t>
  </si>
  <si>
    <t xml:space="preserve"> 5.22(8)</t>
  </si>
  <si>
    <t xml:space="preserve"> 5.59(11)</t>
  </si>
  <si>
    <t xml:space="preserve"> 5.65(11)</t>
  </si>
  <si>
    <t xml:space="preserve"> 4.84(3)</t>
  </si>
  <si>
    <t xml:space="preserve"> 5.17(2)</t>
  </si>
  <si>
    <t xml:space="preserve"> 5.22(1.3)</t>
  </si>
  <si>
    <t xml:space="preserve"> 5.65(5)</t>
  </si>
  <si>
    <t xml:space="preserve"> 5.81(2)</t>
  </si>
  <si>
    <t>4.84(0.5)</t>
  </si>
  <si>
    <t>5.22(1.8)</t>
  </si>
  <si>
    <t xml:space="preserve"> 5.66(0.9)</t>
  </si>
  <si>
    <t xml:space="preserve"> 5.81(1.1)</t>
  </si>
  <si>
    <t xml:space="preserve"> 6.10(6)</t>
  </si>
  <si>
    <t xml:space="preserve"> 5.68(1.0)</t>
  </si>
  <si>
    <t>4.77(1.0)</t>
  </si>
  <si>
    <t xml:space="preserve"> 5.22(6)</t>
  </si>
  <si>
    <t xml:space="preserve"> 5.59(8)</t>
  </si>
  <si>
    <t xml:space="preserve"> 5.64(4)</t>
  </si>
  <si>
    <t>4.84(0.4)</t>
  </si>
  <si>
    <t xml:space="preserve"> 5.66(0.7)</t>
  </si>
  <si>
    <t>4.77(0.8)</t>
  </si>
  <si>
    <t>4.35(1.8)</t>
  </si>
  <si>
    <t xml:space="preserve"> 4.62(3)</t>
  </si>
  <si>
    <t xml:space="preserve"> 4.77(1.2)</t>
  </si>
  <si>
    <t xml:space="preserve"> 4.84(11)</t>
  </si>
  <si>
    <t xml:space="preserve"> 5.66(1.5)</t>
  </si>
  <si>
    <t>5.17(3)</t>
  </si>
  <si>
    <t xml:space="preserve"> 5.66(2)</t>
  </si>
  <si>
    <t>4.86(5)</t>
  </si>
  <si>
    <t xml:space="preserve"> 4.89(4)</t>
  </si>
  <si>
    <t xml:space="preserve"> 5.01(3)</t>
  </si>
  <si>
    <t xml:space="preserve"> 4.77(0.3)</t>
  </si>
  <si>
    <t xml:space="preserve"> 5.60(1.5)</t>
  </si>
  <si>
    <t xml:space="preserve"> 5.65(0.7)</t>
  </si>
  <si>
    <t xml:space="preserve"> 6.11(1.8)</t>
  </si>
  <si>
    <t xml:space="preserve"> 5.17(1.9)</t>
  </si>
  <si>
    <t xml:space="preserve"> 5.60(1.2)</t>
  </si>
  <si>
    <t xml:space="preserve"> 5.66(1.3)</t>
  </si>
  <si>
    <t xml:space="preserve"> 5.65(3)</t>
  </si>
  <si>
    <t xml:space="preserve"> 5.65(1.8)</t>
  </si>
  <si>
    <t xml:space="preserve"> 5.60(5)</t>
  </si>
  <si>
    <t xml:space="preserve"> 4.89(5)</t>
  </si>
  <si>
    <t xml:space="preserve"> 5.81(0.7)</t>
  </si>
  <si>
    <t xml:space="preserve"> 6.11(0.5)</t>
  </si>
  <si>
    <t>to_0</t>
  </si>
  <si>
    <t>to_1.22</t>
  </si>
  <si>
    <t>to_1.76</t>
  </si>
  <si>
    <t>to_2.65</t>
  </si>
  <si>
    <t>to_2.69</t>
  </si>
  <si>
    <t>to_3.00</t>
  </si>
  <si>
    <t>to_3.16</t>
  </si>
  <si>
    <t>to_4.180</t>
  </si>
  <si>
    <t>unknown</t>
  </si>
  <si>
    <t>&lt;0.2</t>
  </si>
  <si>
    <t>90.6±1.0</t>
  </si>
  <si>
    <t>&lt;2</t>
  </si>
  <si>
    <t>9.4±1.0</t>
  </si>
  <si>
    <t>79±2</t>
  </si>
  <si>
    <t>8.0±1.0</t>
  </si>
  <si>
    <t>13.0±1.0</t>
  </si>
  <si>
    <t>91±2</t>
  </si>
  <si>
    <t>8.9±2.0</t>
  </si>
  <si>
    <t>75±3</t>
  </si>
  <si>
    <t>25±3</t>
  </si>
  <si>
    <t>&lt;10</t>
  </si>
  <si>
    <t>&lt;6</t>
  </si>
  <si>
    <t>92±2</t>
  </si>
  <si>
    <t>8±2</t>
  </si>
  <si>
    <t>15±5</t>
  </si>
  <si>
    <t>83±5</t>
  </si>
  <si>
    <t>2.0±0.5</t>
  </si>
  <si>
    <t>94±2</t>
  </si>
  <si>
    <t>4.8±1.5</t>
  </si>
  <si>
    <t>&lt;1</t>
  </si>
  <si>
    <t>1.2±0.4</t>
  </si>
  <si>
    <t>56±7</t>
  </si>
  <si>
    <t>44±7</t>
  </si>
  <si>
    <t>60±10</t>
  </si>
  <si>
    <t>&lt;4</t>
  </si>
  <si>
    <t>25±8</t>
  </si>
  <si>
    <t>60±5</t>
  </si>
  <si>
    <t>30±5</t>
  </si>
  <si>
    <t>&lt;0.5</t>
  </si>
  <si>
    <t>10±3</t>
  </si>
  <si>
    <t>&lt;5</t>
  </si>
  <si>
    <t>28±5</t>
  </si>
  <si>
    <t>72±5</t>
  </si>
  <si>
    <t>85±10</t>
  </si>
  <si>
    <t>35±10</t>
  </si>
  <si>
    <t>65±10</t>
  </si>
  <si>
    <t>40±5</t>
  </si>
  <si>
    <t>&lt;7</t>
  </si>
  <si>
    <t>25±5</t>
  </si>
  <si>
    <t>75±5</t>
  </si>
  <si>
    <t>62±5</t>
  </si>
  <si>
    <t>29±5</t>
  </si>
  <si>
    <t>9±3</t>
  </si>
  <si>
    <t>44±5</t>
  </si>
  <si>
    <t>10±4</t>
  </si>
  <si>
    <t>36±5</t>
  </si>
  <si>
    <t>55±10</t>
  </si>
  <si>
    <t>40±10</t>
  </si>
  <si>
    <t>67±10</t>
  </si>
  <si>
    <t>33±10</t>
  </si>
  <si>
    <t>&lt;8</t>
  </si>
  <si>
    <t>6±2</t>
  </si>
  <si>
    <t>80±5</t>
  </si>
  <si>
    <t>45±10</t>
  </si>
  <si>
    <t>30±10</t>
  </si>
  <si>
    <t>58±10</t>
  </si>
  <si>
    <t>36±10</t>
  </si>
  <si>
    <t>Initial Levels</t>
  </si>
  <si>
    <t>1.22 MeV = 1219.3 keV → 145±30 fs</t>
  </si>
  <si>
    <t>1.76 MeV = 1763.4 keV → 530±90 fs</t>
  </si>
  <si>
    <t>2.65 MeV = 2644.7 keV → 200±30 fs</t>
  </si>
  <si>
    <t>2.69 MeV = 2694.7 keV → 20±4 fs</t>
  </si>
  <si>
    <t>3.00 MeV = 3003.7 keV → 16±4 fs</t>
  </si>
  <si>
    <t>3.16 MeV = 3163.9 keV → &gt;1000 fs (GT limit)</t>
  </si>
  <si>
    <t>3.92 MeV = 3920.7 keV → &lt;6 fs (LT limit)</t>
  </si>
  <si>
    <t>3.94 MeV = 3944.1 keV → 290±50 fs</t>
  </si>
  <si>
    <t>3.98 MeV = 3979.0 keV → 20±4 fs</t>
  </si>
  <si>
    <t>4.06 MeV = 4059.4 keV → 18±3 fs</t>
  </si>
  <si>
    <t>4.175 MeV = 4174.7 keV → 34±9 fs</t>
  </si>
  <si>
    <t>4.180 MeV = 4180.1 keV → 47±10 fs</t>
  </si>
  <si>
    <t>4.35 MeV = 4347.2 keV → 330±60 fs</t>
  </si>
  <si>
    <t>4.77 MeV = 4766.9 keV → 105±17 fs</t>
  </si>
  <si>
    <t>4.84 MeV = 4841.7 keV → 14±5 fs</t>
  </si>
  <si>
    <t>4.86 MeV = 4855.7 keV → 7±2 fs</t>
  </si>
  <si>
    <t>4.89 MeV = 4885 keV → 10±3 fs</t>
  </si>
  <si>
    <t>5.01 MeV = 5010.4 keV → 11±3 fs</t>
  </si>
  <si>
    <t>5.22 MeV = 5216.2 keV → &lt;7 fs (LT limit)</t>
  </si>
  <si>
    <t>5.40 MeV = 5403.6 keV → 17±4 fs</t>
  </si>
  <si>
    <t>5.60 MeV = 5600.1 keV → 3±1 fs</t>
  </si>
  <si>
    <t>5.65 MeV = 5646 keV → 4±1 fs</t>
  </si>
  <si>
    <t>5.66 MeV = 5656 keV → 20±5 fs</t>
  </si>
  <si>
    <t>5.81 MeV = 5806 keV → 5±1 fs</t>
  </si>
  <si>
    <t>6.11 MeV = 6107.2 keV → 12±3 fs</t>
  </si>
  <si>
    <t>dEx</t>
  </si>
  <si>
    <t xml:space="preserve"> Exi_keV</t>
  </si>
  <si>
    <t>Exf</t>
  </si>
  <si>
    <t>other final levels</t>
  </si>
  <si>
    <t>5.60(1)</t>
  </si>
  <si>
    <t>5.21(3)</t>
  </si>
  <si>
    <t>4.35(2), 5.59(3), 5.60(2)</t>
  </si>
  <si>
    <t>6.10(10)</t>
  </si>
  <si>
    <t>4.35(10)</t>
  </si>
  <si>
    <t>6.10(4)</t>
  </si>
  <si>
    <t>5.21(6), 5.40(1), 5.85(1), 5.68(2), 6.10(3)</t>
  </si>
  <si>
    <t>4.84(1), 5.65(4)</t>
  </si>
  <si>
    <t>4.77(1), 4.88(19)</t>
  </si>
  <si>
    <t>4.77(1.5), 5.59(0.2), 564(0.5)</t>
  </si>
  <si>
    <t>4.35(6), 4.88(1), 5.16(4)</t>
  </si>
  <si>
    <t>4.84(3), 5.65(1), 5.68(1), 6.10(3)</t>
  </si>
  <si>
    <t>4.77(2), 4.84(2)</t>
  </si>
  <si>
    <t>4.35(2), 4.77(7), 5.21(1), 
5.40(1), 5.59(1)</t>
  </si>
  <si>
    <t>4.85(0.5), 5.01(2), 
5.40(2), 5.65(1), 5.75(0.5)</t>
  </si>
  <si>
    <t>5.21(1), 6.10(1)</t>
  </si>
  <si>
    <t>5.01(4)</t>
  </si>
  <si>
    <t>4.63(1), 4.84(3), 5.65(9)</t>
  </si>
  <si>
    <t>4.35(8), 4.77(6), 4.88(9), 
5.21(3), 5.59(2), 5.64(3)</t>
  </si>
  <si>
    <t>5.65(1), 6.10(1)</t>
  </si>
  <si>
    <t>5.40(3)</t>
  </si>
  <si>
    <t>4.77(8), 5.64(3)</t>
  </si>
  <si>
    <t>5.80(6)</t>
  </si>
  <si>
    <t>4.77(4), 4.88(2), 5.16(1), 
5.21(7), 5.59(11), 
5.64(10)</t>
  </si>
  <si>
    <t>4.77(1), 4.84(3), 5.16(2), 
5.21(1), 5.60(6), 5.64(5), 
5.80(1)</t>
  </si>
  <si>
    <t>4.84(0.5), 4.85(0.5), 
5.60(0.5)</t>
  </si>
  <si>
    <t>5.60(3), 6.49(6)</t>
  </si>
  <si>
    <t>5.01(2), 5.68(1)</t>
  </si>
  <si>
    <t>5.21(8), 5.59(7), 5.64(3)</t>
  </si>
  <si>
    <t>4.63(9)</t>
  </si>
  <si>
    <t xml:space="preserve">5
</t>
  </si>
  <si>
    <t>Other final levels</t>
  </si>
  <si>
    <t>Exf in unit of MeV and BR placed in ()</t>
  </si>
  <si>
    <t>4.85(2), 5.01(1)</t>
  </si>
  <si>
    <t>4.84(1), 5.01(1.5), 
5.40(0.5), 5.75(1.5)</t>
  </si>
  <si>
    <t xml:space="preserve">4.84(1), 5.01(0.5), 
5.65(0.5), </t>
  </si>
  <si>
    <t>4.63(2), 4.77(1), 4.84(2), 
4.88(2), 5.16(2)</t>
  </si>
  <si>
    <t>5.21(0.5), 5.40(2), 
5.60(2), 5.75(0.5)</t>
  </si>
  <si>
    <t>Exi_revised</t>
  </si>
  <si>
    <t>Exi_keV</t>
  </si>
  <si>
    <t>Exi_original</t>
  </si>
  <si>
    <t>Red: Resonances without γ</t>
  </si>
  <si>
    <t>≤0.2</t>
  </si>
  <si>
    <t>≤5</t>
  </si>
  <si>
    <t>≤1</t>
  </si>
  <si>
    <t>≤3</t>
  </si>
  <si>
    <t>92±1</t>
  </si>
  <si>
    <t>8±1</t>
  </si>
  <si>
    <t>81±3</t>
  </si>
  <si>
    <t>13±2</t>
  </si>
  <si>
    <t>89±2</t>
  </si>
  <si>
    <t>11±2</t>
  </si>
  <si>
    <t>83±3</t>
  </si>
  <si>
    <t>17±3</t>
  </si>
  <si>
    <t>93±3</t>
  </si>
  <si>
    <t>7±3</t>
  </si>
  <si>
    <t>21±3</t>
  </si>
  <si>
    <t>74±5</t>
  </si>
  <si>
    <t>5±3</t>
  </si>
  <si>
    <t>97±2</t>
  </si>
  <si>
    <t>3±2</t>
  </si>
  <si>
    <t>50±20</t>
  </si>
  <si>
    <t>18±6</t>
  </si>
  <si>
    <t>27±8</t>
  </si>
  <si>
    <t>62±6</t>
  </si>
  <si>
    <t>31±5</t>
  </si>
  <si>
    <t>7±2</t>
  </si>
  <si>
    <t>70±5</t>
  </si>
  <si>
    <t>53±10</t>
  </si>
  <si>
    <t>47±10</t>
  </si>
  <si>
    <t>70±10</t>
  </si>
  <si>
    <t>10±5</t>
  </si>
  <si>
    <t>40±20</t>
  </si>
  <si>
    <t>25±10</t>
  </si>
  <si>
    <t>60±20</t>
  </si>
  <si>
    <t>80±10</t>
  </si>
  <si>
    <t>20±10</t>
  </si>
  <si>
    <t>Initial Level Ex_keV</t>
  </si>
  <si>
    <t>Unknown final levels</t>
  </si>
  <si>
    <t>≤ 0.2</t>
  </si>
  <si>
    <t>Eg</t>
  </si>
  <si>
    <t>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</si>
</sst>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_);\(0.0\)"/>
  </numFmts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i/>
      <sz val="9"/>
      <color rgb="FF000000"/>
      <name val="Arial"/>
      <family val="2"/>
    </font>
    <font>
      <i/>
      <sz val="9"/>
      <name val="Arial"/>
      <family val="2"/>
    </font>
    <font>
      <sz val="9"/>
      <color rgb="FFFF0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16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1" fontId="3" fillId="0" borderId="0" xfId="0" applyNumberFormat="1" applyFont="1" applyBorder="1" applyAlignment="1">
      <alignment horizontal="left" vertical="center" shrinkToFit="1"/>
    </xf>
    <xf numFmtId="164" fontId="3" fillId="0" borderId="0" xfId="0" applyNumberFormat="1" applyFont="1" applyBorder="1" applyAlignment="1">
      <alignment horizontal="left" vertical="center" shrinkToFit="1"/>
    </xf>
    <xf numFmtId="0" fontId="2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164" fontId="2" fillId="0" borderId="0" xfId="0" applyNumberFormat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5" fontId="3" fillId="0" borderId="0" xfId="0" applyNumberFormat="1" applyFont="1" applyBorder="1" applyAlignment="1">
      <alignment horizontal="left" vertical="center" shrinkToFi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left" vertical="center" shrinkToFit="1"/>
    </xf>
    <xf numFmtId="164" fontId="3" fillId="0" borderId="0" xfId="0" applyNumberFormat="1" applyFont="1" applyAlignment="1">
      <alignment horizontal="left" vertical="center" shrinkToFit="1"/>
    </xf>
    <xf numFmtId="165" fontId="3" fillId="0" borderId="0" xfId="0" applyNumberFormat="1" applyFont="1" applyAlignment="1">
      <alignment horizontal="left" vertical="center" shrinkToFit="1"/>
    </xf>
    <xf numFmtId="164" fontId="2" fillId="0" borderId="0" xfId="0" applyNumberFormat="1" applyFont="1" applyAlignment="1">
      <alignment horizontal="left" vertical="center" wrapText="1"/>
    </xf>
    <xf numFmtId="164" fontId="2" fillId="0" borderId="0" xfId="0" applyNumberFormat="1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9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1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1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/>
    </xf>
    <xf numFmtId="1" fontId="5" fillId="0" borderId="0" xfId="0" applyNumberFormat="1" applyFont="1" applyAlignment="1">
      <alignment horizontal="left" vertical="top"/>
    </xf>
    <xf numFmtId="164" fontId="3" fillId="0" borderId="0" xfId="0" applyNumberFormat="1" applyFont="1" applyAlignment="1">
      <alignment horizontal="left" vertical="top"/>
    </xf>
    <xf numFmtId="0" fontId="6" fillId="0" borderId="0" xfId="0" applyFont="1" applyAlignment="1">
      <alignment horizontal="left" vertical="top"/>
    </xf>
    <xf numFmtId="164" fontId="7" fillId="0" borderId="0" xfId="0" applyNumberFormat="1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1" fontId="2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43011</xdr:colOff>
      <xdr:row>53</xdr:row>
      <xdr:rowOff>311334</xdr:rowOff>
    </xdr:from>
    <xdr:to>
      <xdr:col>17</xdr:col>
      <xdr:colOff>69681</xdr:colOff>
      <xdr:row>54</xdr:row>
      <xdr:rowOff>69399</xdr:rowOff>
    </xdr:to>
    <xdr:sp macro="" textlink="">
      <xdr:nvSpPr>
        <xdr:cNvPr id="3" name="Textbox 14">
          <a:extLst>
            <a:ext uri="{FF2B5EF4-FFF2-40B4-BE49-F238E27FC236}">
              <a16:creationId xmlns:a16="http://schemas.microsoft.com/office/drawing/2014/main" id="{1BF04E30-8436-43C3-9048-3C29DFC4578D}"/>
            </a:ext>
          </a:extLst>
        </xdr:cNvPr>
        <xdr:cNvSpPr txBox="1"/>
      </xdr:nvSpPr>
      <xdr:spPr>
        <a:xfrm>
          <a:off x="2252811" y="4228014"/>
          <a:ext cx="26670" cy="704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latin typeface="Times New Roman"/>
              <a:cs typeface="Times New Roman"/>
            </a:rPr>
            <a:t>•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56B5C-AA69-404A-B3C6-7F8C1857F12A}">
  <dimension ref="A1:J85"/>
  <sheetViews>
    <sheetView workbookViewId="0">
      <selection activeCell="I2" sqref="I2"/>
    </sheetView>
  </sheetViews>
  <sheetFormatPr defaultRowHeight="14.4" x14ac:dyDescent="0.3"/>
  <cols>
    <col min="1" max="1" width="3" bestFit="1" customWidth="1"/>
    <col min="2" max="2" width="10.77734375" style="3" bestFit="1" customWidth="1"/>
    <col min="3" max="3" width="6.5546875" style="3" bestFit="1" customWidth="1"/>
    <col min="4" max="4" width="4" bestFit="1" customWidth="1"/>
    <col min="5" max="5" width="8" style="3" bestFit="1" customWidth="1"/>
    <col min="6" max="6" width="8" style="2" customWidth="1"/>
    <col min="8" max="8" width="7" style="3" bestFit="1" customWidth="1"/>
    <col min="9" max="10" width="8" bestFit="1" customWidth="1"/>
    <col min="11" max="11" width="7" bestFit="1" customWidth="1"/>
    <col min="12" max="12" width="7.33203125" bestFit="1" customWidth="1"/>
    <col min="13" max="13" width="2.33203125" bestFit="1" customWidth="1"/>
  </cols>
  <sheetData>
    <row r="1" spans="1:10" x14ac:dyDescent="0.3">
      <c r="A1" t="s">
        <v>0</v>
      </c>
      <c r="B1" s="3" t="s">
        <v>3</v>
      </c>
      <c r="C1" s="3" t="s">
        <v>1</v>
      </c>
      <c r="D1" t="s">
        <v>2</v>
      </c>
      <c r="E1" s="3" t="s">
        <v>4</v>
      </c>
      <c r="F1" s="2" t="s">
        <v>6</v>
      </c>
      <c r="I1" t="s">
        <v>5</v>
      </c>
    </row>
    <row r="2" spans="1:10" x14ac:dyDescent="0.3">
      <c r="A2">
        <v>1</v>
      </c>
      <c r="B2" s="3">
        <v>8270.1</v>
      </c>
      <c r="C2" s="3">
        <v>1954.4</v>
      </c>
      <c r="D2">
        <v>0.5</v>
      </c>
      <c r="E2" s="3">
        <v>0.6</v>
      </c>
      <c r="F2" s="2">
        <f t="shared" ref="F2:F33" si="0">E2*I2</f>
        <v>0.3</v>
      </c>
      <c r="H2" s="3">
        <v>0.6</v>
      </c>
      <c r="I2" s="4">
        <f t="shared" ref="I2:I33" si="1">IF(E2&lt;1,50%,20%)</f>
        <v>0.5</v>
      </c>
    </row>
    <row r="3" spans="1:10" x14ac:dyDescent="0.3">
      <c r="A3">
        <v>2</v>
      </c>
      <c r="B3" s="3">
        <v>8278.4</v>
      </c>
      <c r="C3" s="3">
        <v>1962.9</v>
      </c>
      <c r="D3">
        <v>0.5</v>
      </c>
      <c r="E3" s="3">
        <v>0.7</v>
      </c>
      <c r="F3" s="2">
        <f t="shared" si="0"/>
        <v>0.35</v>
      </c>
      <c r="H3" s="3">
        <v>0.7</v>
      </c>
      <c r="I3" s="4">
        <f t="shared" si="1"/>
        <v>0.5</v>
      </c>
    </row>
    <row r="4" spans="1:10" x14ac:dyDescent="0.3">
      <c r="A4">
        <v>3</v>
      </c>
      <c r="B4" s="3">
        <v>8283.2000000000007</v>
      </c>
      <c r="C4" s="3">
        <v>1967.9</v>
      </c>
      <c r="D4">
        <v>0.5</v>
      </c>
      <c r="E4" s="3">
        <v>0.4</v>
      </c>
      <c r="F4" s="2">
        <f t="shared" si="0"/>
        <v>0.2</v>
      </c>
      <c r="H4" s="3">
        <v>0.4</v>
      </c>
      <c r="I4" s="4">
        <f t="shared" si="1"/>
        <v>0.5</v>
      </c>
    </row>
    <row r="5" spans="1:10" x14ac:dyDescent="0.3">
      <c r="A5">
        <v>4</v>
      </c>
      <c r="B5" s="3">
        <v>8289.1</v>
      </c>
      <c r="C5" s="3">
        <v>1973.8</v>
      </c>
      <c r="D5">
        <v>0.3</v>
      </c>
      <c r="E5" s="3">
        <v>0.9</v>
      </c>
      <c r="F5" s="2">
        <f t="shared" si="0"/>
        <v>0.45</v>
      </c>
      <c r="H5" s="3">
        <v>0.9</v>
      </c>
      <c r="I5" s="4">
        <f t="shared" si="1"/>
        <v>0.5</v>
      </c>
    </row>
    <row r="6" spans="1:10" x14ac:dyDescent="0.3">
      <c r="A6">
        <v>5</v>
      </c>
      <c r="B6" s="3">
        <v>8298.7000000000007</v>
      </c>
      <c r="C6" s="3">
        <v>1983.7</v>
      </c>
      <c r="D6">
        <v>0.5</v>
      </c>
      <c r="E6" s="3">
        <v>0.6</v>
      </c>
      <c r="F6" s="2">
        <f t="shared" si="0"/>
        <v>0.3</v>
      </c>
      <c r="H6" s="3">
        <v>0.6</v>
      </c>
      <c r="I6" s="4">
        <f t="shared" si="1"/>
        <v>0.5</v>
      </c>
    </row>
    <row r="7" spans="1:10" x14ac:dyDescent="0.3">
      <c r="A7">
        <v>6</v>
      </c>
      <c r="B7" s="3">
        <v>8299.4</v>
      </c>
      <c r="C7" s="3">
        <v>1984.5</v>
      </c>
      <c r="D7">
        <v>0.5</v>
      </c>
      <c r="E7" s="3">
        <v>0.9</v>
      </c>
      <c r="F7" s="2">
        <f t="shared" si="0"/>
        <v>0.45</v>
      </c>
      <c r="H7" s="3">
        <v>0.9</v>
      </c>
      <c r="I7" s="4">
        <f t="shared" si="1"/>
        <v>0.5</v>
      </c>
    </row>
    <row r="8" spans="1:10" x14ac:dyDescent="0.3">
      <c r="A8">
        <v>7</v>
      </c>
      <c r="B8" s="3">
        <v>8319.5</v>
      </c>
      <c r="C8" s="3">
        <v>2005</v>
      </c>
      <c r="D8">
        <v>0.3</v>
      </c>
      <c r="E8" s="3">
        <v>2.7</v>
      </c>
      <c r="F8" s="2">
        <f t="shared" si="0"/>
        <v>0.54</v>
      </c>
      <c r="H8" s="3">
        <v>2.7</v>
      </c>
      <c r="I8" s="4">
        <f t="shared" si="1"/>
        <v>0.2</v>
      </c>
    </row>
    <row r="9" spans="1:10" x14ac:dyDescent="0.3">
      <c r="A9">
        <v>8</v>
      </c>
      <c r="B9" s="3">
        <v>8382.9</v>
      </c>
      <c r="C9" s="3">
        <v>2070.4</v>
      </c>
      <c r="D9">
        <v>0.5</v>
      </c>
      <c r="E9" s="3">
        <v>6.1</v>
      </c>
      <c r="F9" s="2">
        <f t="shared" si="0"/>
        <v>1.22</v>
      </c>
      <c r="H9" s="3">
        <v>6.1</v>
      </c>
      <c r="I9" s="4">
        <f t="shared" si="1"/>
        <v>0.2</v>
      </c>
    </row>
    <row r="10" spans="1:10" x14ac:dyDescent="0.3">
      <c r="A10">
        <v>9</v>
      </c>
      <c r="B10" s="3">
        <v>8389.1</v>
      </c>
      <c r="C10" s="3">
        <v>2076.9</v>
      </c>
      <c r="D10">
        <v>0.5</v>
      </c>
      <c r="E10" s="3">
        <v>0.4</v>
      </c>
      <c r="F10" s="2">
        <f t="shared" si="0"/>
        <v>0.2</v>
      </c>
      <c r="H10" s="3">
        <v>0.4</v>
      </c>
      <c r="I10" s="4">
        <f t="shared" si="1"/>
        <v>0.5</v>
      </c>
    </row>
    <row r="11" spans="1:10" x14ac:dyDescent="0.3">
      <c r="A11">
        <v>10</v>
      </c>
      <c r="B11" s="3">
        <v>8404.2000000000007</v>
      </c>
      <c r="C11" s="3">
        <v>2092.4</v>
      </c>
      <c r="D11">
        <v>0.5</v>
      </c>
      <c r="E11" s="3">
        <v>0.7</v>
      </c>
      <c r="F11" s="2">
        <f t="shared" si="0"/>
        <v>0.35</v>
      </c>
      <c r="H11" s="3">
        <v>0.7</v>
      </c>
      <c r="I11" s="4">
        <f t="shared" si="1"/>
        <v>0.5</v>
      </c>
    </row>
    <row r="12" spans="1:10" x14ac:dyDescent="0.3">
      <c r="A12">
        <v>11</v>
      </c>
      <c r="B12" s="3">
        <v>8405.7000000000007</v>
      </c>
      <c r="C12" s="3">
        <v>2093.9</v>
      </c>
      <c r="D12">
        <v>0.5</v>
      </c>
      <c r="E12" s="3">
        <v>2.2999999999999998</v>
      </c>
      <c r="F12" s="2">
        <f t="shared" si="0"/>
        <v>0.45999999999999996</v>
      </c>
      <c r="H12" s="3">
        <v>2.2999999999999998</v>
      </c>
      <c r="I12" s="4">
        <f t="shared" si="1"/>
        <v>0.2</v>
      </c>
    </row>
    <row r="13" spans="1:10" x14ac:dyDescent="0.3">
      <c r="A13">
        <v>12</v>
      </c>
      <c r="B13" s="3">
        <v>8409.2000000000007</v>
      </c>
      <c r="C13" s="3">
        <v>2097.5</v>
      </c>
      <c r="D13">
        <v>0.5</v>
      </c>
      <c r="E13" s="3">
        <v>1.4</v>
      </c>
      <c r="F13" s="2">
        <f t="shared" si="0"/>
        <v>0.27999999999999997</v>
      </c>
      <c r="H13" s="3">
        <v>1.4</v>
      </c>
      <c r="I13" s="4">
        <f t="shared" si="1"/>
        <v>0.2</v>
      </c>
    </row>
    <row r="14" spans="1:10" x14ac:dyDescent="0.3">
      <c r="A14">
        <v>13</v>
      </c>
      <c r="B14" s="3">
        <v>8418</v>
      </c>
      <c r="C14" s="3">
        <v>2106.6</v>
      </c>
      <c r="D14">
        <v>0.5</v>
      </c>
      <c r="E14" s="3">
        <v>0.5</v>
      </c>
      <c r="F14" s="2">
        <f t="shared" si="0"/>
        <v>0.25</v>
      </c>
      <c r="H14" s="3">
        <v>0.5</v>
      </c>
      <c r="I14" s="4">
        <f t="shared" si="1"/>
        <v>0.5</v>
      </c>
    </row>
    <row r="15" spans="1:10" x14ac:dyDescent="0.3">
      <c r="A15">
        <v>14</v>
      </c>
      <c r="B15" s="3">
        <v>8431.6</v>
      </c>
      <c r="C15" s="3">
        <v>2120.6</v>
      </c>
      <c r="D15">
        <v>0.5</v>
      </c>
      <c r="E15" s="3">
        <v>1</v>
      </c>
      <c r="F15" s="2">
        <f t="shared" si="0"/>
        <v>0.2</v>
      </c>
      <c r="H15" s="3">
        <v>1</v>
      </c>
      <c r="I15" s="4">
        <f t="shared" si="1"/>
        <v>0.2</v>
      </c>
    </row>
    <row r="16" spans="1:10" x14ac:dyDescent="0.3">
      <c r="A16">
        <v>15</v>
      </c>
      <c r="B16" s="3">
        <v>8436.1</v>
      </c>
      <c r="C16" s="3">
        <v>2125.1999999999998</v>
      </c>
      <c r="D16">
        <v>0.5</v>
      </c>
      <c r="E16" s="3">
        <v>0.5</v>
      </c>
      <c r="F16" s="2">
        <f t="shared" si="0"/>
        <v>0.25</v>
      </c>
      <c r="H16" s="3">
        <v>0.5</v>
      </c>
      <c r="I16" s="4">
        <f t="shared" si="1"/>
        <v>0.5</v>
      </c>
      <c r="J16" s="1"/>
    </row>
    <row r="17" spans="1:9" x14ac:dyDescent="0.3">
      <c r="A17">
        <v>16</v>
      </c>
      <c r="B17" s="3">
        <v>8465.6</v>
      </c>
      <c r="C17" s="3">
        <v>2155.6</v>
      </c>
      <c r="D17">
        <v>0.5</v>
      </c>
      <c r="E17" s="3">
        <v>0.9</v>
      </c>
      <c r="F17" s="2">
        <f t="shared" si="0"/>
        <v>0.45</v>
      </c>
      <c r="H17" s="3">
        <v>0.9</v>
      </c>
      <c r="I17" s="4">
        <f t="shared" si="1"/>
        <v>0.5</v>
      </c>
    </row>
    <row r="18" spans="1:9" x14ac:dyDescent="0.3">
      <c r="A18">
        <v>17</v>
      </c>
      <c r="B18" s="3">
        <v>8485.7999999999993</v>
      </c>
      <c r="C18" s="3">
        <v>2176.4</v>
      </c>
      <c r="D18">
        <v>0.5</v>
      </c>
      <c r="E18" s="3">
        <v>2.1</v>
      </c>
      <c r="F18" s="2">
        <f t="shared" si="0"/>
        <v>0.42000000000000004</v>
      </c>
      <c r="H18" s="3">
        <v>2.1</v>
      </c>
      <c r="I18" s="4">
        <f t="shared" si="1"/>
        <v>0.2</v>
      </c>
    </row>
    <row r="19" spans="1:9" x14ac:dyDescent="0.3">
      <c r="A19">
        <v>18</v>
      </c>
      <c r="B19" s="3">
        <v>8487.4</v>
      </c>
      <c r="C19" s="3">
        <v>2178</v>
      </c>
      <c r="D19">
        <v>0.5</v>
      </c>
      <c r="E19" s="3">
        <v>1.9</v>
      </c>
      <c r="F19" s="2">
        <f t="shared" si="0"/>
        <v>0.38</v>
      </c>
      <c r="H19" s="3">
        <v>1.9</v>
      </c>
      <c r="I19" s="4">
        <f t="shared" si="1"/>
        <v>0.2</v>
      </c>
    </row>
    <row r="20" spans="1:9" x14ac:dyDescent="0.3">
      <c r="A20">
        <v>19</v>
      </c>
      <c r="B20" s="3">
        <v>8507.9</v>
      </c>
      <c r="C20" s="3">
        <v>2199.1</v>
      </c>
      <c r="D20">
        <v>0.5</v>
      </c>
      <c r="E20" s="3">
        <v>0.3</v>
      </c>
      <c r="F20" s="2">
        <f t="shared" si="0"/>
        <v>0.15</v>
      </c>
      <c r="H20" s="3">
        <v>0.3</v>
      </c>
      <c r="I20" s="4">
        <f t="shared" si="1"/>
        <v>0.5</v>
      </c>
    </row>
    <row r="21" spans="1:9" x14ac:dyDescent="0.3">
      <c r="A21">
        <v>20</v>
      </c>
      <c r="B21" s="3">
        <v>8515.6</v>
      </c>
      <c r="C21" s="3">
        <v>2207.1</v>
      </c>
      <c r="D21">
        <v>0.5</v>
      </c>
      <c r="E21" s="3">
        <v>0.5</v>
      </c>
      <c r="F21" s="2">
        <f t="shared" si="0"/>
        <v>0.25</v>
      </c>
      <c r="H21" s="3">
        <v>0.5</v>
      </c>
      <c r="I21" s="4">
        <f t="shared" si="1"/>
        <v>0.5</v>
      </c>
    </row>
    <row r="22" spans="1:9" x14ac:dyDescent="0.3">
      <c r="A22">
        <v>21</v>
      </c>
      <c r="B22" s="3">
        <v>8535.2999999999993</v>
      </c>
      <c r="C22" s="3">
        <v>2227.3000000000002</v>
      </c>
      <c r="D22">
        <v>0.5</v>
      </c>
      <c r="E22" s="3">
        <v>0.1</v>
      </c>
      <c r="F22" s="2">
        <f t="shared" si="0"/>
        <v>0.05</v>
      </c>
      <c r="H22" s="3">
        <v>0.1</v>
      </c>
      <c r="I22" s="4">
        <f t="shared" si="1"/>
        <v>0.5</v>
      </c>
    </row>
    <row r="23" spans="1:9" x14ac:dyDescent="0.3">
      <c r="A23">
        <v>22</v>
      </c>
      <c r="B23" s="3">
        <v>8573.2000000000007</v>
      </c>
      <c r="C23" s="3">
        <v>2266.4</v>
      </c>
      <c r="D23">
        <v>0.5</v>
      </c>
      <c r="E23" s="3">
        <v>2.9</v>
      </c>
      <c r="F23" s="2">
        <f t="shared" si="0"/>
        <v>0.57999999999999996</v>
      </c>
      <c r="H23" s="3">
        <v>2.9</v>
      </c>
      <c r="I23" s="4">
        <f t="shared" si="1"/>
        <v>0.2</v>
      </c>
    </row>
    <row r="24" spans="1:9" x14ac:dyDescent="0.3">
      <c r="A24">
        <v>23</v>
      </c>
      <c r="B24" s="3">
        <v>8581.9</v>
      </c>
      <c r="C24" s="3">
        <v>2275.3000000000002</v>
      </c>
      <c r="D24">
        <v>0.5</v>
      </c>
      <c r="E24" s="3">
        <v>1</v>
      </c>
      <c r="F24" s="2">
        <f t="shared" si="0"/>
        <v>0.2</v>
      </c>
      <c r="H24" s="3">
        <v>1</v>
      </c>
      <c r="I24" s="4">
        <f t="shared" si="1"/>
        <v>0.2</v>
      </c>
    </row>
    <row r="25" spans="1:9" x14ac:dyDescent="0.3">
      <c r="A25">
        <v>24</v>
      </c>
      <c r="B25" s="3">
        <v>8587.1</v>
      </c>
      <c r="C25" s="3">
        <v>2280.6999999999998</v>
      </c>
      <c r="D25">
        <v>0.5</v>
      </c>
      <c r="E25" s="3">
        <v>0.1</v>
      </c>
      <c r="F25" s="2">
        <f t="shared" si="0"/>
        <v>0.05</v>
      </c>
      <c r="H25" s="3">
        <v>0.1</v>
      </c>
      <c r="I25" s="4">
        <f t="shared" si="1"/>
        <v>0.5</v>
      </c>
    </row>
    <row r="26" spans="1:9" x14ac:dyDescent="0.3">
      <c r="A26">
        <v>25</v>
      </c>
      <c r="B26" s="3">
        <v>8591.2999999999993</v>
      </c>
      <c r="C26" s="3">
        <v>2285</v>
      </c>
      <c r="D26">
        <v>0.5</v>
      </c>
      <c r="E26" s="3">
        <v>0.7</v>
      </c>
      <c r="F26" s="2">
        <f t="shared" si="0"/>
        <v>0.35</v>
      </c>
      <c r="H26" s="3">
        <v>0.7</v>
      </c>
      <c r="I26" s="4">
        <f t="shared" si="1"/>
        <v>0.5</v>
      </c>
    </row>
    <row r="27" spans="1:9" x14ac:dyDescent="0.3">
      <c r="A27">
        <v>26</v>
      </c>
      <c r="B27" s="3">
        <v>8613.4</v>
      </c>
      <c r="C27" s="3">
        <v>2307.6999999999998</v>
      </c>
      <c r="D27">
        <v>0.5</v>
      </c>
      <c r="E27" s="3">
        <v>1</v>
      </c>
      <c r="F27" s="2">
        <f t="shared" si="0"/>
        <v>0.2</v>
      </c>
      <c r="H27" s="3">
        <v>1</v>
      </c>
      <c r="I27" s="4">
        <f t="shared" si="1"/>
        <v>0.2</v>
      </c>
    </row>
    <row r="28" spans="1:9" x14ac:dyDescent="0.3">
      <c r="A28">
        <v>27</v>
      </c>
      <c r="B28" s="3">
        <v>8615</v>
      </c>
      <c r="C28" s="3">
        <v>2309.4</v>
      </c>
      <c r="D28">
        <v>0.5</v>
      </c>
      <c r="E28" s="3">
        <v>2.4</v>
      </c>
      <c r="F28" s="2">
        <f t="shared" si="0"/>
        <v>0.48</v>
      </c>
      <c r="H28" s="3">
        <v>2.4</v>
      </c>
      <c r="I28" s="4">
        <f t="shared" si="1"/>
        <v>0.2</v>
      </c>
    </row>
    <row r="29" spans="1:9" x14ac:dyDescent="0.3">
      <c r="A29">
        <v>28</v>
      </c>
      <c r="B29" s="3">
        <v>8619.5</v>
      </c>
      <c r="C29" s="3">
        <v>2314</v>
      </c>
      <c r="D29">
        <v>0.5</v>
      </c>
      <c r="E29" s="3">
        <v>3.8</v>
      </c>
      <c r="F29" s="2">
        <f t="shared" si="0"/>
        <v>0.76</v>
      </c>
      <c r="H29" s="3">
        <v>3.8</v>
      </c>
      <c r="I29" s="4">
        <f t="shared" si="1"/>
        <v>0.2</v>
      </c>
    </row>
    <row r="30" spans="1:9" x14ac:dyDescent="0.3">
      <c r="A30">
        <v>29</v>
      </c>
      <c r="B30" s="3">
        <v>8631.4</v>
      </c>
      <c r="C30" s="3">
        <v>2326.3000000000002</v>
      </c>
      <c r="D30">
        <v>0.3</v>
      </c>
      <c r="E30" s="3">
        <v>2.7</v>
      </c>
      <c r="F30" s="2">
        <f t="shared" si="0"/>
        <v>0.54</v>
      </c>
      <c r="H30" s="3">
        <v>2.7</v>
      </c>
      <c r="I30" s="4">
        <f t="shared" si="1"/>
        <v>0.2</v>
      </c>
    </row>
    <row r="31" spans="1:9" x14ac:dyDescent="0.3">
      <c r="A31">
        <v>30</v>
      </c>
      <c r="B31" s="3">
        <v>8642.7999999999993</v>
      </c>
      <c r="C31" s="3">
        <v>2338</v>
      </c>
      <c r="D31">
        <v>0.5</v>
      </c>
      <c r="E31" s="3">
        <v>0.9</v>
      </c>
      <c r="F31" s="2">
        <f t="shared" si="0"/>
        <v>0.45</v>
      </c>
      <c r="H31" s="3">
        <v>0.9</v>
      </c>
      <c r="I31" s="4">
        <f t="shared" si="1"/>
        <v>0.5</v>
      </c>
    </row>
    <row r="32" spans="1:9" x14ac:dyDescent="0.3">
      <c r="A32">
        <v>31</v>
      </c>
      <c r="B32" s="3">
        <v>8687.6</v>
      </c>
      <c r="C32" s="3">
        <v>2384.1</v>
      </c>
      <c r="D32">
        <v>0.5</v>
      </c>
      <c r="E32" s="3">
        <v>2.2000000000000002</v>
      </c>
      <c r="F32" s="2">
        <f t="shared" si="0"/>
        <v>0.44000000000000006</v>
      </c>
      <c r="H32" s="3">
        <v>2.2000000000000002</v>
      </c>
      <c r="I32" s="4">
        <f t="shared" si="1"/>
        <v>0.2</v>
      </c>
    </row>
    <row r="33" spans="1:9" x14ac:dyDescent="0.3">
      <c r="A33">
        <v>32</v>
      </c>
      <c r="B33" s="3">
        <v>8689.7000000000007</v>
      </c>
      <c r="C33" s="3">
        <v>2386.3000000000002</v>
      </c>
      <c r="D33">
        <v>0.5</v>
      </c>
      <c r="E33" s="3">
        <v>0.7</v>
      </c>
      <c r="F33" s="2">
        <f t="shared" si="0"/>
        <v>0.35</v>
      </c>
      <c r="H33" s="3">
        <v>0.7</v>
      </c>
      <c r="I33" s="4">
        <f t="shared" si="1"/>
        <v>0.5</v>
      </c>
    </row>
    <row r="34" spans="1:9" x14ac:dyDescent="0.3">
      <c r="A34">
        <v>33</v>
      </c>
      <c r="B34" s="3">
        <v>8698.2999999999993</v>
      </c>
      <c r="C34" s="3">
        <v>2395.1</v>
      </c>
      <c r="D34">
        <v>0.5</v>
      </c>
      <c r="E34" s="3">
        <v>0.6</v>
      </c>
      <c r="F34" s="2">
        <f t="shared" ref="F34:F65" si="2">E34*I34</f>
        <v>0.3</v>
      </c>
      <c r="H34" s="3">
        <v>0.6</v>
      </c>
      <c r="I34" s="4">
        <f t="shared" ref="I34:I65" si="3">IF(E34&lt;1,50%,20%)</f>
        <v>0.5</v>
      </c>
    </row>
    <row r="35" spans="1:9" x14ac:dyDescent="0.3">
      <c r="A35">
        <v>34</v>
      </c>
      <c r="B35" s="3">
        <v>8707.7000000000007</v>
      </c>
      <c r="C35" s="3">
        <v>2404.8000000000002</v>
      </c>
      <c r="D35">
        <v>0.5</v>
      </c>
      <c r="E35" s="3">
        <v>0.2</v>
      </c>
      <c r="F35" s="2">
        <f t="shared" si="2"/>
        <v>0.1</v>
      </c>
      <c r="H35" s="3">
        <v>0.2</v>
      </c>
      <c r="I35" s="4">
        <f t="shared" si="3"/>
        <v>0.5</v>
      </c>
    </row>
    <row r="36" spans="1:9" x14ac:dyDescent="0.3">
      <c r="A36">
        <v>35</v>
      </c>
      <c r="B36" s="3">
        <v>8719</v>
      </c>
      <c r="C36" s="3">
        <v>2416.5</v>
      </c>
      <c r="D36">
        <v>0.5</v>
      </c>
      <c r="E36" s="3">
        <v>0.5</v>
      </c>
      <c r="F36" s="2">
        <f t="shared" si="2"/>
        <v>0.25</v>
      </c>
      <c r="H36" s="3">
        <v>0.5</v>
      </c>
      <c r="I36" s="4">
        <f t="shared" si="3"/>
        <v>0.5</v>
      </c>
    </row>
    <row r="37" spans="1:9" x14ac:dyDescent="0.3">
      <c r="A37">
        <v>36</v>
      </c>
      <c r="B37" s="3">
        <v>8752.2999999999993</v>
      </c>
      <c r="C37" s="3">
        <v>2450.6999999999998</v>
      </c>
      <c r="D37">
        <v>0.5</v>
      </c>
      <c r="E37" s="3">
        <v>1.7</v>
      </c>
      <c r="F37" s="2">
        <f t="shared" si="2"/>
        <v>0.34</v>
      </c>
      <c r="H37" s="3">
        <v>1.7</v>
      </c>
      <c r="I37" s="4">
        <f t="shared" si="3"/>
        <v>0.2</v>
      </c>
    </row>
    <row r="38" spans="1:9" x14ac:dyDescent="0.3">
      <c r="A38">
        <v>37</v>
      </c>
      <c r="B38" s="3">
        <v>8768.4</v>
      </c>
      <c r="C38" s="3">
        <v>2467.3000000000002</v>
      </c>
      <c r="D38">
        <v>0.5</v>
      </c>
      <c r="E38" s="3">
        <v>0.3</v>
      </c>
      <c r="F38" s="2">
        <f t="shared" si="2"/>
        <v>0.15</v>
      </c>
      <c r="H38" s="3">
        <v>0.3</v>
      </c>
      <c r="I38" s="4">
        <f t="shared" si="3"/>
        <v>0.5</v>
      </c>
    </row>
    <row r="39" spans="1:9" x14ac:dyDescent="0.3">
      <c r="A39">
        <v>38</v>
      </c>
      <c r="B39" s="3">
        <v>8774.4</v>
      </c>
      <c r="C39" s="3">
        <v>2473.4</v>
      </c>
      <c r="D39">
        <v>0.5</v>
      </c>
      <c r="E39" s="3">
        <v>0.6</v>
      </c>
      <c r="F39" s="2">
        <f t="shared" si="2"/>
        <v>0.3</v>
      </c>
      <c r="H39" s="3">
        <v>0.6</v>
      </c>
      <c r="I39" s="4">
        <f t="shared" si="3"/>
        <v>0.5</v>
      </c>
    </row>
    <row r="40" spans="1:9" x14ac:dyDescent="0.3">
      <c r="A40">
        <v>39</v>
      </c>
      <c r="B40" s="3">
        <v>8781.2000000000007</v>
      </c>
      <c r="C40" s="3">
        <v>2480.5</v>
      </c>
      <c r="D40">
        <v>0.5</v>
      </c>
      <c r="E40" s="3">
        <v>1.7</v>
      </c>
      <c r="F40" s="2">
        <f t="shared" si="2"/>
        <v>0.34</v>
      </c>
      <c r="H40" s="3">
        <v>1.7</v>
      </c>
      <c r="I40" s="4">
        <f t="shared" si="3"/>
        <v>0.2</v>
      </c>
    </row>
    <row r="41" spans="1:9" x14ac:dyDescent="0.3">
      <c r="A41">
        <v>40</v>
      </c>
      <c r="B41" s="3">
        <v>8788.6</v>
      </c>
      <c r="C41" s="3">
        <v>2488.1</v>
      </c>
      <c r="D41">
        <v>0.5</v>
      </c>
      <c r="E41" s="3">
        <v>1.2</v>
      </c>
      <c r="F41" s="2">
        <f t="shared" si="2"/>
        <v>0.24</v>
      </c>
      <c r="H41" s="3">
        <v>1.2</v>
      </c>
      <c r="I41" s="4">
        <f t="shared" si="3"/>
        <v>0.2</v>
      </c>
    </row>
    <row r="42" spans="1:9" x14ac:dyDescent="0.3">
      <c r="A42">
        <v>41</v>
      </c>
      <c r="B42" s="3">
        <v>8799.7999999999993</v>
      </c>
      <c r="C42" s="3">
        <v>2499.6</v>
      </c>
      <c r="D42">
        <v>0.5</v>
      </c>
      <c r="E42" s="3">
        <v>1.7</v>
      </c>
      <c r="F42" s="2">
        <f t="shared" si="2"/>
        <v>0.34</v>
      </c>
      <c r="H42" s="3">
        <v>1.7</v>
      </c>
      <c r="I42" s="4">
        <f t="shared" si="3"/>
        <v>0.2</v>
      </c>
    </row>
    <row r="43" spans="1:9" x14ac:dyDescent="0.3">
      <c r="A43">
        <v>42</v>
      </c>
      <c r="B43" s="3">
        <v>8822.4</v>
      </c>
      <c r="C43" s="3">
        <v>2522.8000000000002</v>
      </c>
      <c r="D43">
        <v>0.5</v>
      </c>
      <c r="E43" s="3">
        <v>0.7</v>
      </c>
      <c r="F43" s="2">
        <f t="shared" si="2"/>
        <v>0.35</v>
      </c>
      <c r="H43" s="3">
        <v>0.7</v>
      </c>
      <c r="I43" s="4">
        <f t="shared" si="3"/>
        <v>0.5</v>
      </c>
    </row>
    <row r="44" spans="1:9" x14ac:dyDescent="0.3">
      <c r="A44">
        <v>43</v>
      </c>
      <c r="B44" s="3">
        <v>8825.7000000000007</v>
      </c>
      <c r="C44" s="3">
        <v>2526.1999999999998</v>
      </c>
      <c r="D44">
        <v>0.5</v>
      </c>
      <c r="E44" s="3">
        <v>3.7</v>
      </c>
      <c r="F44" s="2">
        <f t="shared" si="2"/>
        <v>0.7400000000000001</v>
      </c>
      <c r="H44" s="3">
        <v>3.7</v>
      </c>
      <c r="I44" s="4">
        <f t="shared" si="3"/>
        <v>0.2</v>
      </c>
    </row>
    <row r="45" spans="1:9" x14ac:dyDescent="0.3">
      <c r="A45">
        <v>44</v>
      </c>
      <c r="B45" s="3">
        <v>8830.6</v>
      </c>
      <c r="C45" s="3">
        <v>2531.4</v>
      </c>
      <c r="D45">
        <v>0.5</v>
      </c>
      <c r="E45" s="3">
        <v>2.1</v>
      </c>
      <c r="F45" s="2">
        <f t="shared" si="2"/>
        <v>0.42000000000000004</v>
      </c>
      <c r="H45" s="3">
        <v>2.1</v>
      </c>
      <c r="I45" s="4">
        <f t="shared" si="3"/>
        <v>0.2</v>
      </c>
    </row>
    <row r="46" spans="1:9" x14ac:dyDescent="0.3">
      <c r="A46">
        <v>45</v>
      </c>
      <c r="B46" s="3">
        <v>8834.5</v>
      </c>
      <c r="C46" s="3">
        <v>2535.3000000000002</v>
      </c>
      <c r="D46">
        <v>0.5</v>
      </c>
      <c r="E46" s="3">
        <v>0.7</v>
      </c>
      <c r="F46" s="2">
        <f t="shared" si="2"/>
        <v>0.35</v>
      </c>
      <c r="H46" s="3">
        <v>0.7</v>
      </c>
      <c r="I46" s="4">
        <f t="shared" si="3"/>
        <v>0.5</v>
      </c>
    </row>
    <row r="47" spans="1:9" x14ac:dyDescent="0.3">
      <c r="A47">
        <v>46</v>
      </c>
      <c r="B47" s="3">
        <v>8839.5</v>
      </c>
      <c r="C47" s="3">
        <v>2540.5</v>
      </c>
      <c r="D47">
        <v>0.5</v>
      </c>
      <c r="E47" s="3">
        <v>1.5</v>
      </c>
      <c r="F47" s="2">
        <f t="shared" si="2"/>
        <v>0.30000000000000004</v>
      </c>
      <c r="H47" s="3">
        <v>1.5</v>
      </c>
      <c r="I47" s="4">
        <f t="shared" si="3"/>
        <v>0.2</v>
      </c>
    </row>
    <row r="48" spans="1:9" x14ac:dyDescent="0.3">
      <c r="A48">
        <v>47</v>
      </c>
      <c r="B48" s="3">
        <v>8857.5</v>
      </c>
      <c r="C48" s="3">
        <v>2559</v>
      </c>
      <c r="D48">
        <v>0.5</v>
      </c>
      <c r="E48" s="3">
        <v>4.5999999999999996</v>
      </c>
      <c r="F48" s="2">
        <f t="shared" si="2"/>
        <v>0.91999999999999993</v>
      </c>
      <c r="H48" s="3">
        <v>4.5999999999999996</v>
      </c>
      <c r="I48" s="4">
        <f t="shared" si="3"/>
        <v>0.2</v>
      </c>
    </row>
    <row r="49" spans="1:9" x14ac:dyDescent="0.3">
      <c r="A49">
        <v>48</v>
      </c>
      <c r="B49" s="3">
        <v>8870</v>
      </c>
      <c r="C49" s="3">
        <v>2571.9</v>
      </c>
      <c r="D49">
        <v>0.5</v>
      </c>
      <c r="E49" s="3">
        <v>1</v>
      </c>
      <c r="F49" s="2">
        <f t="shared" si="2"/>
        <v>0.2</v>
      </c>
      <c r="H49" s="3">
        <v>1</v>
      </c>
      <c r="I49" s="4">
        <f t="shared" si="3"/>
        <v>0.2</v>
      </c>
    </row>
    <row r="50" spans="1:9" x14ac:dyDescent="0.3">
      <c r="A50">
        <v>49</v>
      </c>
      <c r="B50" s="3">
        <v>8885.6</v>
      </c>
      <c r="C50" s="3">
        <v>2587.9</v>
      </c>
      <c r="D50">
        <v>0.5</v>
      </c>
      <c r="E50" s="3">
        <v>0.4</v>
      </c>
      <c r="F50" s="2">
        <f t="shared" si="2"/>
        <v>0.2</v>
      </c>
      <c r="H50" s="3">
        <v>0.4</v>
      </c>
      <c r="I50" s="4">
        <f t="shared" si="3"/>
        <v>0.5</v>
      </c>
    </row>
    <row r="51" spans="1:9" x14ac:dyDescent="0.3">
      <c r="A51">
        <v>50</v>
      </c>
      <c r="B51" s="3">
        <v>8887.5</v>
      </c>
      <c r="C51" s="3">
        <v>2589.9</v>
      </c>
      <c r="D51">
        <v>0.5</v>
      </c>
      <c r="E51" s="3">
        <v>1.4</v>
      </c>
      <c r="F51" s="2">
        <f t="shared" si="2"/>
        <v>0.27999999999999997</v>
      </c>
      <c r="H51" s="3">
        <v>1.4</v>
      </c>
      <c r="I51" s="4">
        <f t="shared" si="3"/>
        <v>0.2</v>
      </c>
    </row>
    <row r="52" spans="1:9" x14ac:dyDescent="0.3">
      <c r="A52">
        <v>51</v>
      </c>
      <c r="B52" s="3">
        <v>8894.7999999999993</v>
      </c>
      <c r="C52" s="3">
        <v>2597.4</v>
      </c>
      <c r="D52">
        <v>0.5</v>
      </c>
      <c r="E52" s="3">
        <v>1.2</v>
      </c>
      <c r="F52" s="2">
        <f t="shared" si="2"/>
        <v>0.24</v>
      </c>
      <c r="H52" s="3">
        <v>1.2</v>
      </c>
      <c r="I52" s="4">
        <f t="shared" si="3"/>
        <v>0.2</v>
      </c>
    </row>
    <row r="53" spans="1:9" x14ac:dyDescent="0.3">
      <c r="A53">
        <v>52</v>
      </c>
      <c r="B53" s="3">
        <v>8906.2999999999993</v>
      </c>
      <c r="C53" s="3">
        <v>2609.1999999999998</v>
      </c>
      <c r="D53">
        <v>0.5</v>
      </c>
      <c r="E53" s="3">
        <v>1</v>
      </c>
      <c r="F53" s="2">
        <f t="shared" si="2"/>
        <v>0.2</v>
      </c>
      <c r="H53" s="3">
        <v>1</v>
      </c>
      <c r="I53" s="4">
        <f t="shared" si="3"/>
        <v>0.2</v>
      </c>
    </row>
    <row r="54" spans="1:9" x14ac:dyDescent="0.3">
      <c r="A54">
        <v>53</v>
      </c>
      <c r="B54" s="3">
        <v>8908.2999999999993</v>
      </c>
      <c r="C54" s="3">
        <v>2611.3000000000002</v>
      </c>
      <c r="D54">
        <v>0.5</v>
      </c>
      <c r="E54" s="3">
        <v>1.5</v>
      </c>
      <c r="F54" s="2">
        <f t="shared" si="2"/>
        <v>0.30000000000000004</v>
      </c>
      <c r="H54" s="3">
        <v>1.5</v>
      </c>
      <c r="I54" s="4">
        <f t="shared" si="3"/>
        <v>0.2</v>
      </c>
    </row>
    <row r="55" spans="1:9" x14ac:dyDescent="0.3">
      <c r="A55">
        <v>54</v>
      </c>
      <c r="B55" s="3">
        <v>8921.2000000000007</v>
      </c>
      <c r="C55" s="3">
        <v>2624.6</v>
      </c>
      <c r="D55">
        <v>0.5</v>
      </c>
      <c r="E55" s="3">
        <v>1.1000000000000001</v>
      </c>
      <c r="F55" s="2">
        <f t="shared" si="2"/>
        <v>0.22000000000000003</v>
      </c>
      <c r="H55" s="3">
        <v>1.1000000000000001</v>
      </c>
      <c r="I55" s="4">
        <f t="shared" si="3"/>
        <v>0.2</v>
      </c>
    </row>
    <row r="56" spans="1:9" x14ac:dyDescent="0.3">
      <c r="A56">
        <v>55</v>
      </c>
      <c r="B56" s="3">
        <v>8934.7000000000007</v>
      </c>
      <c r="C56" s="3">
        <v>2638.5</v>
      </c>
      <c r="D56">
        <v>0.5</v>
      </c>
      <c r="E56" s="3">
        <v>1</v>
      </c>
      <c r="F56" s="2">
        <f t="shared" si="2"/>
        <v>0.2</v>
      </c>
      <c r="H56" s="3">
        <v>1</v>
      </c>
      <c r="I56" s="4">
        <f t="shared" si="3"/>
        <v>0.2</v>
      </c>
    </row>
    <row r="57" spans="1:9" x14ac:dyDescent="0.3">
      <c r="A57">
        <v>56</v>
      </c>
      <c r="B57" s="3">
        <v>8954.4</v>
      </c>
      <c r="C57" s="3">
        <v>2658.8</v>
      </c>
      <c r="D57">
        <v>0.5</v>
      </c>
      <c r="E57" s="3">
        <v>2.4</v>
      </c>
      <c r="F57" s="2">
        <f t="shared" si="2"/>
        <v>0.48</v>
      </c>
      <c r="H57" s="3">
        <v>2.4</v>
      </c>
      <c r="I57" s="4">
        <f t="shared" si="3"/>
        <v>0.2</v>
      </c>
    </row>
    <row r="58" spans="1:9" x14ac:dyDescent="0.3">
      <c r="A58">
        <v>57</v>
      </c>
      <c r="B58" s="3">
        <v>8959.2999999999993</v>
      </c>
      <c r="C58" s="3">
        <v>2663.8</v>
      </c>
      <c r="D58">
        <v>0.5</v>
      </c>
      <c r="E58" s="3">
        <v>1.2</v>
      </c>
      <c r="F58" s="2">
        <f t="shared" si="2"/>
        <v>0.24</v>
      </c>
      <c r="H58" s="3">
        <v>1.2</v>
      </c>
      <c r="I58" s="4">
        <f t="shared" si="3"/>
        <v>0.2</v>
      </c>
    </row>
    <row r="59" spans="1:9" x14ac:dyDescent="0.3">
      <c r="A59">
        <v>58</v>
      </c>
      <c r="B59" s="3">
        <v>8983.4</v>
      </c>
      <c r="C59" s="3">
        <v>2688.6</v>
      </c>
      <c r="D59">
        <v>0.5</v>
      </c>
      <c r="E59" s="3">
        <v>2.2000000000000002</v>
      </c>
      <c r="F59" s="2">
        <f t="shared" si="2"/>
        <v>0.44000000000000006</v>
      </c>
      <c r="H59" s="3">
        <v>2.2000000000000002</v>
      </c>
      <c r="I59" s="4">
        <f t="shared" si="3"/>
        <v>0.2</v>
      </c>
    </row>
    <row r="60" spans="1:9" x14ac:dyDescent="0.3">
      <c r="A60">
        <v>59</v>
      </c>
      <c r="B60" s="3">
        <v>8985.7000000000007</v>
      </c>
      <c r="C60" s="3">
        <v>2690.9</v>
      </c>
      <c r="D60">
        <v>0.5</v>
      </c>
      <c r="E60" s="3">
        <v>0.6</v>
      </c>
      <c r="F60" s="2">
        <f t="shared" si="2"/>
        <v>0.3</v>
      </c>
      <c r="H60" s="3">
        <v>0.6</v>
      </c>
      <c r="I60" s="4">
        <f t="shared" si="3"/>
        <v>0.5</v>
      </c>
    </row>
    <row r="61" spans="1:9" x14ac:dyDescent="0.3">
      <c r="A61">
        <v>60</v>
      </c>
      <c r="B61" s="3">
        <v>8989.9</v>
      </c>
      <c r="C61" s="3">
        <v>2695.3</v>
      </c>
      <c r="D61">
        <v>0.5</v>
      </c>
      <c r="E61" s="3">
        <v>0.7</v>
      </c>
      <c r="F61" s="2">
        <f t="shared" si="2"/>
        <v>0.35</v>
      </c>
      <c r="H61" s="3">
        <v>0.7</v>
      </c>
      <c r="I61" s="4">
        <f t="shared" si="3"/>
        <v>0.5</v>
      </c>
    </row>
    <row r="62" spans="1:9" x14ac:dyDescent="0.3">
      <c r="A62">
        <v>61</v>
      </c>
      <c r="B62" s="3">
        <v>8993.9</v>
      </c>
      <c r="C62" s="3">
        <v>2699.4</v>
      </c>
      <c r="D62">
        <v>0.5</v>
      </c>
      <c r="E62" s="3">
        <v>2.2999999999999998</v>
      </c>
      <c r="F62" s="2">
        <f t="shared" si="2"/>
        <v>0.45999999999999996</v>
      </c>
      <c r="H62" s="3">
        <v>2.2999999999999998</v>
      </c>
      <c r="I62" s="4">
        <f t="shared" si="3"/>
        <v>0.2</v>
      </c>
    </row>
    <row r="63" spans="1:9" x14ac:dyDescent="0.3">
      <c r="A63">
        <v>62</v>
      </c>
      <c r="B63" s="3">
        <v>8998.2000000000007</v>
      </c>
      <c r="C63" s="3">
        <v>2703.8</v>
      </c>
      <c r="D63">
        <v>0.5</v>
      </c>
      <c r="E63" s="3">
        <v>1.7</v>
      </c>
      <c r="F63" s="2">
        <f t="shared" si="2"/>
        <v>0.34</v>
      </c>
      <c r="H63" s="3">
        <v>1.7</v>
      </c>
      <c r="I63" s="4">
        <f t="shared" si="3"/>
        <v>0.2</v>
      </c>
    </row>
    <row r="64" spans="1:9" x14ac:dyDescent="0.3">
      <c r="A64">
        <v>63</v>
      </c>
      <c r="B64" s="3">
        <v>9002.5</v>
      </c>
      <c r="C64" s="3">
        <v>2708.3</v>
      </c>
      <c r="D64">
        <v>0.5</v>
      </c>
      <c r="E64" s="3">
        <v>0.6</v>
      </c>
      <c r="F64" s="2">
        <f t="shared" si="2"/>
        <v>0.3</v>
      </c>
      <c r="H64" s="3">
        <v>0.6</v>
      </c>
      <c r="I64" s="4">
        <f t="shared" si="3"/>
        <v>0.5</v>
      </c>
    </row>
    <row r="65" spans="1:9" x14ac:dyDescent="0.3">
      <c r="A65">
        <v>64</v>
      </c>
      <c r="B65" s="3">
        <v>9020.7999999999993</v>
      </c>
      <c r="C65" s="3">
        <v>2727.1</v>
      </c>
      <c r="D65">
        <v>0.5</v>
      </c>
      <c r="E65" s="3">
        <v>0.8</v>
      </c>
      <c r="F65" s="2">
        <f t="shared" si="2"/>
        <v>0.4</v>
      </c>
      <c r="H65" s="3">
        <v>0.8</v>
      </c>
      <c r="I65" s="4">
        <f t="shared" si="3"/>
        <v>0.5</v>
      </c>
    </row>
    <row r="66" spans="1:9" x14ac:dyDescent="0.3">
      <c r="A66">
        <v>65</v>
      </c>
      <c r="B66" s="3">
        <v>9025.9</v>
      </c>
      <c r="C66" s="3">
        <v>2732.4</v>
      </c>
      <c r="D66">
        <v>0.5</v>
      </c>
      <c r="E66" s="3">
        <v>1.1000000000000001</v>
      </c>
      <c r="F66" s="2">
        <f t="shared" ref="F66:F85" si="4">E66*I66</f>
        <v>0.22000000000000003</v>
      </c>
      <c r="H66" s="3">
        <v>1.1000000000000001</v>
      </c>
      <c r="I66" s="4">
        <f t="shared" ref="I66:I85" si="5">IF(E66&lt;1,50%,20%)</f>
        <v>0.2</v>
      </c>
    </row>
    <row r="67" spans="1:9" x14ac:dyDescent="0.3">
      <c r="A67">
        <v>66</v>
      </c>
      <c r="B67" s="3">
        <v>9031.4</v>
      </c>
      <c r="C67" s="3">
        <v>2738</v>
      </c>
      <c r="D67">
        <v>0.5</v>
      </c>
      <c r="E67" s="3">
        <v>2.6</v>
      </c>
      <c r="F67" s="2">
        <f t="shared" si="4"/>
        <v>0.52</v>
      </c>
      <c r="H67" s="3">
        <v>2.6</v>
      </c>
      <c r="I67" s="4">
        <f t="shared" si="5"/>
        <v>0.2</v>
      </c>
    </row>
    <row r="68" spans="1:9" x14ac:dyDescent="0.3">
      <c r="A68">
        <v>67</v>
      </c>
      <c r="B68" s="3">
        <v>9034.5</v>
      </c>
      <c r="C68" s="3">
        <v>2741.3</v>
      </c>
      <c r="D68">
        <v>0.5</v>
      </c>
      <c r="E68" s="3">
        <v>0.4</v>
      </c>
      <c r="F68" s="2">
        <f t="shared" si="4"/>
        <v>0.2</v>
      </c>
      <c r="H68" s="3">
        <v>0.4</v>
      </c>
      <c r="I68" s="4">
        <f t="shared" si="5"/>
        <v>0.5</v>
      </c>
    </row>
    <row r="69" spans="1:9" x14ac:dyDescent="0.3">
      <c r="A69">
        <v>68</v>
      </c>
      <c r="B69" s="3">
        <v>9039.7000000000007</v>
      </c>
      <c r="C69" s="3">
        <v>2746.6</v>
      </c>
      <c r="D69">
        <v>0.5</v>
      </c>
      <c r="E69" s="3">
        <v>0.8</v>
      </c>
      <c r="F69" s="2">
        <f t="shared" si="4"/>
        <v>0.4</v>
      </c>
      <c r="H69" s="3">
        <v>0.8</v>
      </c>
      <c r="I69" s="4">
        <f t="shared" si="5"/>
        <v>0.5</v>
      </c>
    </row>
    <row r="70" spans="1:9" x14ac:dyDescent="0.3">
      <c r="A70">
        <v>69</v>
      </c>
      <c r="B70" s="3">
        <v>9049.7999999999993</v>
      </c>
      <c r="C70" s="3">
        <v>2757</v>
      </c>
      <c r="D70">
        <v>0.5</v>
      </c>
      <c r="E70" s="3">
        <v>3.2</v>
      </c>
      <c r="F70" s="2">
        <f t="shared" si="4"/>
        <v>0.64000000000000012</v>
      </c>
      <c r="H70" s="3">
        <v>3.2</v>
      </c>
      <c r="I70" s="4">
        <f t="shared" si="5"/>
        <v>0.2</v>
      </c>
    </row>
    <row r="71" spans="1:9" x14ac:dyDescent="0.3">
      <c r="A71">
        <v>70</v>
      </c>
      <c r="B71" s="3">
        <v>9082.9</v>
      </c>
      <c r="C71" s="3">
        <v>2791</v>
      </c>
      <c r="D71">
        <v>0.4</v>
      </c>
      <c r="E71" s="3">
        <v>16</v>
      </c>
      <c r="F71" s="2">
        <f t="shared" si="4"/>
        <v>3.2</v>
      </c>
      <c r="H71" s="3">
        <v>16</v>
      </c>
      <c r="I71" s="4">
        <f t="shared" si="5"/>
        <v>0.2</v>
      </c>
    </row>
    <row r="72" spans="1:9" x14ac:dyDescent="0.3">
      <c r="A72">
        <v>71</v>
      </c>
      <c r="B72" s="3">
        <v>9090</v>
      </c>
      <c r="C72" s="3">
        <v>2798.3</v>
      </c>
      <c r="D72">
        <v>0.5</v>
      </c>
      <c r="E72" s="3">
        <v>0.7</v>
      </c>
      <c r="F72" s="2">
        <f t="shared" si="4"/>
        <v>0.35</v>
      </c>
      <c r="H72" s="3">
        <v>0.7</v>
      </c>
      <c r="I72" s="4">
        <f t="shared" si="5"/>
        <v>0.5</v>
      </c>
    </row>
    <row r="73" spans="1:9" x14ac:dyDescent="0.3">
      <c r="A73">
        <v>72</v>
      </c>
      <c r="B73" s="3">
        <v>9100.7000000000007</v>
      </c>
      <c r="C73" s="3">
        <v>2809.4</v>
      </c>
      <c r="D73">
        <v>0.5</v>
      </c>
      <c r="E73" s="3">
        <v>1.2</v>
      </c>
      <c r="F73" s="2">
        <f t="shared" si="4"/>
        <v>0.24</v>
      </c>
      <c r="H73" s="3">
        <v>1.2</v>
      </c>
      <c r="I73" s="4">
        <f t="shared" si="5"/>
        <v>0.2</v>
      </c>
    </row>
    <row r="74" spans="1:9" x14ac:dyDescent="0.3">
      <c r="A74">
        <v>73</v>
      </c>
      <c r="B74" s="3">
        <v>9101.9</v>
      </c>
      <c r="C74" s="3">
        <v>2810.6</v>
      </c>
      <c r="D74">
        <v>0.5</v>
      </c>
      <c r="E74" s="3">
        <v>2.1</v>
      </c>
      <c r="F74" s="2">
        <f t="shared" si="4"/>
        <v>0.42000000000000004</v>
      </c>
      <c r="H74" s="3">
        <v>2.1</v>
      </c>
      <c r="I74" s="4">
        <f t="shared" si="5"/>
        <v>0.2</v>
      </c>
    </row>
    <row r="75" spans="1:9" x14ac:dyDescent="0.3">
      <c r="A75">
        <v>74</v>
      </c>
      <c r="B75" s="3">
        <v>9108.9</v>
      </c>
      <c r="C75" s="3">
        <v>2817.8</v>
      </c>
      <c r="D75">
        <v>0.5</v>
      </c>
      <c r="E75" s="3">
        <v>0.5</v>
      </c>
      <c r="F75" s="2">
        <f t="shared" si="4"/>
        <v>0.25</v>
      </c>
      <c r="H75" s="3">
        <v>0.5</v>
      </c>
      <c r="I75" s="4">
        <f t="shared" si="5"/>
        <v>0.5</v>
      </c>
    </row>
    <row r="76" spans="1:9" x14ac:dyDescent="0.3">
      <c r="A76">
        <v>75</v>
      </c>
      <c r="B76" s="3">
        <v>9111.5</v>
      </c>
      <c r="C76" s="3">
        <v>2820.5</v>
      </c>
      <c r="D76">
        <v>0.5</v>
      </c>
      <c r="E76" s="3">
        <v>0.5</v>
      </c>
      <c r="F76" s="2">
        <f t="shared" si="4"/>
        <v>0.25</v>
      </c>
      <c r="H76" s="3">
        <v>0.5</v>
      </c>
      <c r="I76" s="4">
        <f t="shared" si="5"/>
        <v>0.5</v>
      </c>
    </row>
    <row r="77" spans="1:9" x14ac:dyDescent="0.3">
      <c r="A77">
        <v>76</v>
      </c>
      <c r="B77" s="3">
        <v>9125.5</v>
      </c>
      <c r="C77" s="3">
        <v>2834.9</v>
      </c>
      <c r="D77">
        <v>0.5</v>
      </c>
      <c r="E77" s="3">
        <v>1.2</v>
      </c>
      <c r="F77" s="2">
        <f t="shared" si="4"/>
        <v>0.24</v>
      </c>
      <c r="H77" s="3">
        <v>1.2</v>
      </c>
      <c r="I77" s="4">
        <f t="shared" si="5"/>
        <v>0.2</v>
      </c>
    </row>
    <row r="78" spans="1:9" x14ac:dyDescent="0.3">
      <c r="A78">
        <v>77</v>
      </c>
      <c r="B78" s="3">
        <v>9136.6</v>
      </c>
      <c r="C78" s="3">
        <v>2846.3</v>
      </c>
      <c r="D78">
        <v>0.5</v>
      </c>
      <c r="E78" s="3">
        <v>0.2</v>
      </c>
      <c r="F78" s="2">
        <f t="shared" si="4"/>
        <v>0.1</v>
      </c>
      <c r="H78" s="3">
        <v>0.2</v>
      </c>
      <c r="I78" s="4">
        <f t="shared" si="5"/>
        <v>0.5</v>
      </c>
    </row>
    <row r="79" spans="1:9" x14ac:dyDescent="0.3">
      <c r="A79">
        <v>78</v>
      </c>
      <c r="B79" s="3">
        <v>9139.7999999999993</v>
      </c>
      <c r="C79" s="3">
        <v>2849.6</v>
      </c>
      <c r="D79">
        <v>0.5</v>
      </c>
      <c r="E79" s="3">
        <v>1.9</v>
      </c>
      <c r="F79" s="2">
        <f t="shared" si="4"/>
        <v>0.38</v>
      </c>
      <c r="H79" s="3">
        <v>1.9</v>
      </c>
      <c r="I79" s="4">
        <f t="shared" si="5"/>
        <v>0.2</v>
      </c>
    </row>
    <row r="80" spans="1:9" x14ac:dyDescent="0.3">
      <c r="A80">
        <v>79</v>
      </c>
      <c r="B80" s="3">
        <v>9157.1</v>
      </c>
      <c r="C80" s="3">
        <v>2867.5</v>
      </c>
      <c r="D80">
        <v>0.5</v>
      </c>
      <c r="E80" s="3">
        <v>2</v>
      </c>
      <c r="F80" s="2">
        <f t="shared" si="4"/>
        <v>0.4</v>
      </c>
      <c r="H80" s="3">
        <v>2</v>
      </c>
      <c r="I80" s="4">
        <f t="shared" si="5"/>
        <v>0.2</v>
      </c>
    </row>
    <row r="81" spans="1:9" x14ac:dyDescent="0.3">
      <c r="A81">
        <v>80</v>
      </c>
      <c r="B81" s="3">
        <v>9158.6</v>
      </c>
      <c r="C81" s="3">
        <v>2869</v>
      </c>
      <c r="D81">
        <v>0.5</v>
      </c>
      <c r="E81" s="3">
        <v>6.7</v>
      </c>
      <c r="F81" s="2">
        <f t="shared" si="4"/>
        <v>1.34</v>
      </c>
      <c r="H81" s="3">
        <v>6.7</v>
      </c>
      <c r="I81" s="4">
        <f t="shared" si="5"/>
        <v>0.2</v>
      </c>
    </row>
    <row r="82" spans="1:9" x14ac:dyDescent="0.3">
      <c r="A82">
        <v>81</v>
      </c>
      <c r="B82" s="3">
        <v>9164.7999999999993</v>
      </c>
      <c r="C82" s="3">
        <v>2875.3</v>
      </c>
      <c r="D82">
        <v>0.5</v>
      </c>
      <c r="E82" s="3">
        <v>0.4</v>
      </c>
      <c r="F82" s="2">
        <f t="shared" si="4"/>
        <v>0.2</v>
      </c>
      <c r="H82" s="3">
        <v>0.4</v>
      </c>
      <c r="I82" s="4">
        <f t="shared" si="5"/>
        <v>0.5</v>
      </c>
    </row>
    <row r="83" spans="1:9" x14ac:dyDescent="0.3">
      <c r="A83">
        <v>82</v>
      </c>
      <c r="B83" s="3">
        <v>9185.7000000000007</v>
      </c>
      <c r="C83" s="3">
        <v>2896.9</v>
      </c>
      <c r="D83">
        <v>0.5</v>
      </c>
      <c r="E83" s="3">
        <v>0.9</v>
      </c>
      <c r="F83" s="2">
        <f t="shared" si="4"/>
        <v>0.45</v>
      </c>
      <c r="H83" s="3">
        <v>0.9</v>
      </c>
      <c r="I83" s="4">
        <f t="shared" si="5"/>
        <v>0.5</v>
      </c>
    </row>
    <row r="84" spans="1:9" x14ac:dyDescent="0.3">
      <c r="A84">
        <v>83</v>
      </c>
      <c r="B84" s="3">
        <v>9190.2999999999993</v>
      </c>
      <c r="C84" s="3">
        <v>2901.6</v>
      </c>
      <c r="D84">
        <v>0.5</v>
      </c>
      <c r="E84" s="3">
        <v>0.9</v>
      </c>
      <c r="F84" s="2">
        <f t="shared" si="4"/>
        <v>0.45</v>
      </c>
      <c r="H84" s="3">
        <v>0.9</v>
      </c>
      <c r="I84" s="4">
        <f t="shared" si="5"/>
        <v>0.5</v>
      </c>
    </row>
    <row r="85" spans="1:9" x14ac:dyDescent="0.3">
      <c r="A85">
        <v>84</v>
      </c>
      <c r="B85" s="3">
        <v>9195.6</v>
      </c>
      <c r="C85" s="3">
        <v>2907.1</v>
      </c>
      <c r="D85">
        <v>0.5</v>
      </c>
      <c r="E85" s="3">
        <v>4</v>
      </c>
      <c r="F85" s="2">
        <f t="shared" si="4"/>
        <v>0.8</v>
      </c>
      <c r="H85" s="3">
        <v>4</v>
      </c>
      <c r="I85" s="4">
        <f t="shared" si="5"/>
        <v>0.2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95E3C-D2D0-41F2-9E09-670422BD0B7B}">
  <dimension ref="A1:J17"/>
  <sheetViews>
    <sheetView workbookViewId="0">
      <selection activeCell="C28" sqref="C28"/>
    </sheetView>
  </sheetViews>
  <sheetFormatPr defaultRowHeight="14.4" x14ac:dyDescent="0.3"/>
  <cols>
    <col min="1" max="8" width="8.88671875" style="5"/>
    <col min="9" max="9" width="2.77734375" style="5" bestFit="1" customWidth="1"/>
    <col min="10" max="10" width="9.44140625" style="5" bestFit="1" customWidth="1"/>
    <col min="11" max="16384" width="8.88671875" style="5"/>
  </cols>
  <sheetData>
    <row r="1" spans="1:10" x14ac:dyDescent="0.3">
      <c r="A1" s="5" t="s">
        <v>7</v>
      </c>
      <c r="B1" s="5" t="s">
        <v>8</v>
      </c>
      <c r="C1" s="5" t="s">
        <v>58</v>
      </c>
      <c r="D1" s="5" t="s">
        <v>59</v>
      </c>
      <c r="E1" s="5" t="s">
        <v>59</v>
      </c>
      <c r="F1" s="5" t="s">
        <v>60</v>
      </c>
      <c r="G1" s="5" t="s">
        <v>61</v>
      </c>
      <c r="H1" s="5" t="s">
        <v>9</v>
      </c>
    </row>
    <row r="2" spans="1:10" x14ac:dyDescent="0.3">
      <c r="A2" s="5">
        <v>9.08</v>
      </c>
      <c r="B2" s="5">
        <v>0</v>
      </c>
      <c r="C2" s="5">
        <f t="shared" ref="C2:C17" si="0">A2*1000-B2*1000</f>
        <v>9080</v>
      </c>
      <c r="D2" s="5">
        <f t="shared" ref="D2:D17" si="1">A2*1000</f>
        <v>9080</v>
      </c>
      <c r="E2" s="5">
        <f t="shared" ref="E2:E17" si="2">B2*1000</f>
        <v>0</v>
      </c>
      <c r="F2" s="5" t="s">
        <v>49</v>
      </c>
      <c r="G2" s="5" t="s">
        <v>50</v>
      </c>
      <c r="H2" s="5" t="s">
        <v>51</v>
      </c>
    </row>
    <row r="3" spans="1:10" x14ac:dyDescent="0.3">
      <c r="A3" s="5">
        <v>9.08</v>
      </c>
      <c r="B3" s="5">
        <v>1.76</v>
      </c>
      <c r="C3" s="5">
        <f t="shared" si="0"/>
        <v>7320</v>
      </c>
      <c r="D3" s="5">
        <f t="shared" si="1"/>
        <v>9080</v>
      </c>
      <c r="E3" s="5">
        <f t="shared" si="2"/>
        <v>1760</v>
      </c>
      <c r="F3" s="5" t="s">
        <v>52</v>
      </c>
      <c r="G3" s="5" t="s">
        <v>53</v>
      </c>
      <c r="H3" s="5" t="s">
        <v>54</v>
      </c>
    </row>
    <row r="4" spans="1:10" x14ac:dyDescent="0.3">
      <c r="A4" s="5">
        <v>9.08</v>
      </c>
      <c r="B4" s="5">
        <v>3.92</v>
      </c>
      <c r="C4" s="5">
        <f t="shared" si="0"/>
        <v>5160</v>
      </c>
      <c r="D4" s="5">
        <f t="shared" si="1"/>
        <v>9080</v>
      </c>
      <c r="E4" s="5">
        <f t="shared" si="2"/>
        <v>3920</v>
      </c>
      <c r="F4" s="5" t="s">
        <v>55</v>
      </c>
      <c r="G4" s="5" t="s">
        <v>56</v>
      </c>
      <c r="H4" s="5" t="s">
        <v>57</v>
      </c>
    </row>
    <row r="5" spans="1:10" x14ac:dyDescent="0.3">
      <c r="A5" s="5">
        <v>8.9499999999999993</v>
      </c>
      <c r="B5" s="5">
        <v>0</v>
      </c>
      <c r="C5" s="5">
        <f t="shared" si="0"/>
        <v>8950</v>
      </c>
      <c r="D5" s="5">
        <f t="shared" si="1"/>
        <v>8950</v>
      </c>
      <c r="E5" s="5">
        <f t="shared" si="2"/>
        <v>0</v>
      </c>
      <c r="F5" s="5" t="s">
        <v>42</v>
      </c>
      <c r="G5" s="5" t="s">
        <v>36</v>
      </c>
      <c r="H5" s="5" t="s">
        <v>43</v>
      </c>
      <c r="I5" s="5" t="s">
        <v>13</v>
      </c>
      <c r="J5" s="5" t="s">
        <v>44</v>
      </c>
    </row>
    <row r="6" spans="1:10" x14ac:dyDescent="0.3">
      <c r="A6" s="5">
        <v>8.9499999999999993</v>
      </c>
      <c r="B6" s="5">
        <v>1.22</v>
      </c>
      <c r="C6" s="5">
        <f t="shared" si="0"/>
        <v>7730</v>
      </c>
      <c r="D6" s="5">
        <f t="shared" si="1"/>
        <v>8950</v>
      </c>
      <c r="E6" s="5">
        <f t="shared" si="2"/>
        <v>1220</v>
      </c>
      <c r="F6" s="5" t="s">
        <v>45</v>
      </c>
      <c r="G6" s="5" t="s">
        <v>46</v>
      </c>
      <c r="H6" s="5" t="s">
        <v>47</v>
      </c>
      <c r="I6" s="5" t="s">
        <v>13</v>
      </c>
      <c r="J6" s="5" t="s">
        <v>48</v>
      </c>
    </row>
    <row r="7" spans="1:10" x14ac:dyDescent="0.3">
      <c r="A7" s="5">
        <v>8.64</v>
      </c>
      <c r="B7" s="5">
        <v>0</v>
      </c>
      <c r="C7" s="5">
        <f t="shared" si="0"/>
        <v>8640</v>
      </c>
      <c r="D7" s="5">
        <f t="shared" si="1"/>
        <v>8640</v>
      </c>
      <c r="E7" s="5">
        <f t="shared" si="2"/>
        <v>0</v>
      </c>
      <c r="F7" s="5" t="s">
        <v>41</v>
      </c>
      <c r="G7" s="5" t="s">
        <v>33</v>
      </c>
    </row>
    <row r="8" spans="1:10" x14ac:dyDescent="0.3">
      <c r="A8" s="5">
        <v>8.6300000000000008</v>
      </c>
      <c r="B8" s="5">
        <v>1.76</v>
      </c>
      <c r="C8" s="5">
        <f t="shared" si="0"/>
        <v>6870</v>
      </c>
      <c r="D8" s="5">
        <f t="shared" si="1"/>
        <v>8630</v>
      </c>
      <c r="E8" s="5">
        <f t="shared" si="2"/>
        <v>1760</v>
      </c>
      <c r="F8" s="5" t="s">
        <v>29</v>
      </c>
      <c r="G8" s="5" t="s">
        <v>30</v>
      </c>
      <c r="H8" s="5" t="s">
        <v>31</v>
      </c>
    </row>
    <row r="9" spans="1:10" x14ac:dyDescent="0.3">
      <c r="A9" s="5">
        <v>8.6300000000000008</v>
      </c>
      <c r="B9" s="5">
        <v>4.1100000000000003</v>
      </c>
      <c r="C9" s="5">
        <f t="shared" si="0"/>
        <v>4520</v>
      </c>
      <c r="D9" s="5">
        <f t="shared" si="1"/>
        <v>8630</v>
      </c>
      <c r="E9" s="5">
        <f t="shared" si="2"/>
        <v>4110</v>
      </c>
      <c r="F9" s="5" t="s">
        <v>32</v>
      </c>
      <c r="G9" s="5" t="s">
        <v>33</v>
      </c>
      <c r="H9" s="5" t="s">
        <v>34</v>
      </c>
    </row>
    <row r="10" spans="1:10" x14ac:dyDescent="0.3">
      <c r="A10" s="5">
        <v>8.6300000000000008</v>
      </c>
      <c r="B10" s="5">
        <v>4.3499999999999996</v>
      </c>
      <c r="C10" s="5">
        <f t="shared" si="0"/>
        <v>4280</v>
      </c>
      <c r="D10" s="5">
        <f t="shared" si="1"/>
        <v>8630</v>
      </c>
      <c r="E10" s="5">
        <f t="shared" si="2"/>
        <v>4350</v>
      </c>
      <c r="F10" s="5" t="s">
        <v>35</v>
      </c>
      <c r="G10" s="5" t="s">
        <v>36</v>
      </c>
      <c r="H10" s="5" t="s">
        <v>37</v>
      </c>
    </row>
    <row r="11" spans="1:10" x14ac:dyDescent="0.3">
      <c r="A11" s="5">
        <v>8.6300000000000008</v>
      </c>
      <c r="B11" s="5">
        <v>5.16</v>
      </c>
      <c r="C11" s="5">
        <f t="shared" si="0"/>
        <v>3470</v>
      </c>
      <c r="D11" s="5">
        <f t="shared" si="1"/>
        <v>8630</v>
      </c>
      <c r="E11" s="5">
        <f t="shared" si="2"/>
        <v>5160</v>
      </c>
      <c r="F11" s="5" t="s">
        <v>38</v>
      </c>
      <c r="G11" s="5" t="s">
        <v>39</v>
      </c>
      <c r="H11" s="5" t="s">
        <v>40</v>
      </c>
    </row>
    <row r="12" spans="1:10" x14ac:dyDescent="0.3">
      <c r="A12" s="5">
        <v>5.16</v>
      </c>
      <c r="B12" s="5">
        <v>1.76</v>
      </c>
      <c r="C12" s="5">
        <f t="shared" si="0"/>
        <v>3400</v>
      </c>
      <c r="D12" s="5">
        <f t="shared" si="1"/>
        <v>5160</v>
      </c>
      <c r="E12" s="5">
        <f t="shared" si="2"/>
        <v>1760</v>
      </c>
      <c r="F12" s="5" t="s">
        <v>23</v>
      </c>
      <c r="G12" s="5" t="s">
        <v>24</v>
      </c>
      <c r="H12" s="5" t="s">
        <v>25</v>
      </c>
    </row>
    <row r="13" spans="1:10" x14ac:dyDescent="0.3">
      <c r="A13" s="5">
        <v>5.16</v>
      </c>
      <c r="B13" s="5">
        <v>3.16</v>
      </c>
      <c r="C13" s="5">
        <f t="shared" si="0"/>
        <v>2000</v>
      </c>
      <c r="D13" s="5">
        <f t="shared" si="1"/>
        <v>5160</v>
      </c>
      <c r="E13" s="5">
        <f t="shared" si="2"/>
        <v>3160</v>
      </c>
      <c r="F13" s="5" t="s">
        <v>26</v>
      </c>
      <c r="G13" s="5" t="s">
        <v>27</v>
      </c>
      <c r="H13" s="5" t="s">
        <v>28</v>
      </c>
    </row>
    <row r="14" spans="1:10" x14ac:dyDescent="0.3">
      <c r="A14" s="5">
        <v>4.3499999999999996</v>
      </c>
      <c r="B14" s="5">
        <v>2.65</v>
      </c>
      <c r="C14" s="5">
        <f t="shared" si="0"/>
        <v>1700</v>
      </c>
      <c r="D14" s="5">
        <f t="shared" si="1"/>
        <v>4350</v>
      </c>
      <c r="E14" s="5">
        <f t="shared" si="2"/>
        <v>2650</v>
      </c>
      <c r="F14" s="5" t="s">
        <v>20</v>
      </c>
      <c r="G14" s="5" t="s">
        <v>21</v>
      </c>
      <c r="H14" s="5" t="s">
        <v>22</v>
      </c>
    </row>
    <row r="15" spans="1:10" x14ac:dyDescent="0.3">
      <c r="A15" s="5">
        <v>4.1100000000000003</v>
      </c>
      <c r="B15" s="5">
        <v>0</v>
      </c>
      <c r="C15" s="5">
        <f t="shared" si="0"/>
        <v>4110</v>
      </c>
      <c r="D15" s="5">
        <f t="shared" si="1"/>
        <v>4110</v>
      </c>
      <c r="E15" s="5">
        <f t="shared" si="2"/>
        <v>0</v>
      </c>
      <c r="F15" s="5" t="s">
        <v>14</v>
      </c>
      <c r="G15" s="5" t="s">
        <v>15</v>
      </c>
      <c r="H15" s="5" t="s">
        <v>16</v>
      </c>
    </row>
    <row r="16" spans="1:10" x14ac:dyDescent="0.3">
      <c r="A16" s="5">
        <v>4.1100000000000003</v>
      </c>
      <c r="B16" s="5">
        <v>1.76</v>
      </c>
      <c r="C16" s="5">
        <f t="shared" si="0"/>
        <v>2350</v>
      </c>
      <c r="D16" s="5">
        <f t="shared" si="1"/>
        <v>4110</v>
      </c>
      <c r="E16" s="5">
        <f t="shared" si="2"/>
        <v>1760</v>
      </c>
      <c r="F16" s="5" t="s">
        <v>17</v>
      </c>
      <c r="G16" s="5" t="s">
        <v>18</v>
      </c>
      <c r="H16" s="5" t="s">
        <v>19</v>
      </c>
    </row>
    <row r="17" spans="1:10" x14ac:dyDescent="0.3">
      <c r="A17" s="5">
        <v>3.92</v>
      </c>
      <c r="B17" s="5">
        <v>0</v>
      </c>
      <c r="C17" s="5">
        <f t="shared" si="0"/>
        <v>3920</v>
      </c>
      <c r="D17" s="5">
        <f t="shared" si="1"/>
        <v>3920</v>
      </c>
      <c r="E17" s="5">
        <f t="shared" si="2"/>
        <v>0</v>
      </c>
      <c r="F17" s="5" t="s">
        <v>10</v>
      </c>
      <c r="G17" s="5" t="s">
        <v>11</v>
      </c>
      <c r="H17" s="5" t="s">
        <v>12</v>
      </c>
      <c r="I17" s="5" t="s">
        <v>13</v>
      </c>
      <c r="J17" s="6" t="s">
        <v>62</v>
      </c>
    </row>
  </sheetData>
  <sortState xmlns:xlrd2="http://schemas.microsoft.com/office/spreadsheetml/2017/richdata2" ref="A1:J17">
    <sortCondition descending="1" ref="A1:A17"/>
  </sortState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078AD-A845-4D51-85B7-7824A52393D0}">
  <dimension ref="A1:AO57"/>
  <sheetViews>
    <sheetView workbookViewId="0">
      <selection activeCell="A3" sqref="A3"/>
    </sheetView>
  </sheetViews>
  <sheetFormatPr defaultRowHeight="11.4" x14ac:dyDescent="0.3"/>
  <cols>
    <col min="1" max="1" width="8.88671875" style="7"/>
    <col min="2" max="2" width="6.5546875" style="7" bestFit="1" customWidth="1"/>
    <col min="3" max="3" width="7" style="7" bestFit="1" customWidth="1"/>
    <col min="4" max="4" width="7.109375" style="7" bestFit="1" customWidth="1"/>
    <col min="5" max="5" width="8" style="7" bestFit="1" customWidth="1"/>
    <col min="6" max="6" width="6.44140625" style="7" bestFit="1" customWidth="1"/>
    <col min="7" max="7" width="6.77734375" style="7" bestFit="1" customWidth="1"/>
    <col min="8" max="8" width="5.6640625" style="7" bestFit="1" customWidth="1"/>
    <col min="9" max="16" width="6.109375" style="7" bestFit="1" customWidth="1"/>
    <col min="17" max="17" width="5.6640625" style="7" bestFit="1" customWidth="1"/>
    <col min="18" max="18" width="6.109375" style="7" bestFit="1" customWidth="1"/>
    <col min="19" max="19" width="5.6640625" style="7" bestFit="1" customWidth="1"/>
    <col min="20" max="21" width="6.109375" style="7" bestFit="1" customWidth="1"/>
    <col min="22" max="22" width="12.33203125" style="7" bestFit="1" customWidth="1"/>
    <col min="23" max="23" width="9.88671875" style="7" bestFit="1" customWidth="1"/>
    <col min="24" max="24" width="9.44140625" style="7" bestFit="1" customWidth="1"/>
    <col min="25" max="29" width="7.6640625" style="7" bestFit="1" customWidth="1"/>
    <col min="30" max="30" width="6.33203125" style="7" bestFit="1" customWidth="1"/>
    <col min="31" max="16384" width="8.88671875" style="7"/>
  </cols>
  <sheetData>
    <row r="1" spans="1:41" x14ac:dyDescent="0.3">
      <c r="A1" s="7">
        <v>6372</v>
      </c>
      <c r="H1" s="7" t="s">
        <v>302</v>
      </c>
      <c r="I1" s="7" t="s">
        <v>302</v>
      </c>
      <c r="J1" s="7" t="s">
        <v>302</v>
      </c>
      <c r="K1" s="7" t="s">
        <v>302</v>
      </c>
      <c r="L1" s="7" t="s">
        <v>302</v>
      </c>
      <c r="M1" s="7" t="s">
        <v>302</v>
      </c>
      <c r="N1" s="7" t="s">
        <v>302</v>
      </c>
      <c r="O1" s="7" t="s">
        <v>302</v>
      </c>
      <c r="P1" s="7" t="s">
        <v>302</v>
      </c>
      <c r="Q1" s="7" t="s">
        <v>302</v>
      </c>
      <c r="R1" s="7" t="s">
        <v>302</v>
      </c>
      <c r="S1" s="7" t="s">
        <v>302</v>
      </c>
      <c r="T1" s="7" t="s">
        <v>302</v>
      </c>
      <c r="U1" s="7" t="s">
        <v>302</v>
      </c>
      <c r="V1" s="13">
        <v>4347.2</v>
      </c>
      <c r="W1" s="13">
        <v>4624.2</v>
      </c>
      <c r="X1" s="13">
        <v>4766.8999999999996</v>
      </c>
      <c r="Y1" s="13">
        <v>4841.7</v>
      </c>
      <c r="Z1" s="13">
        <v>4855.7</v>
      </c>
      <c r="AA1" s="13">
        <v>4885</v>
      </c>
      <c r="AB1" s="13">
        <v>5010.3999999999996</v>
      </c>
      <c r="AC1" s="13">
        <v>5166.7</v>
      </c>
      <c r="AD1" s="13">
        <v>5216.2</v>
      </c>
      <c r="AE1" s="13">
        <v>5403.6</v>
      </c>
      <c r="AF1" s="13">
        <v>5586</v>
      </c>
      <c r="AG1" s="13">
        <v>5600.1</v>
      </c>
      <c r="AH1" s="13">
        <v>5646</v>
      </c>
      <c r="AI1" s="13">
        <v>5656</v>
      </c>
      <c r="AJ1" s="13">
        <v>5683</v>
      </c>
      <c r="AK1" s="13">
        <v>5759</v>
      </c>
      <c r="AL1" s="13">
        <v>5806</v>
      </c>
      <c r="AM1" s="13">
        <v>6107.2</v>
      </c>
      <c r="AN1" s="13">
        <v>6181</v>
      </c>
      <c r="AO1" s="13">
        <v>6493</v>
      </c>
    </row>
    <row r="2" spans="1:41" x14ac:dyDescent="0.3">
      <c r="A2" s="7" t="s">
        <v>64</v>
      </c>
      <c r="B2" s="7" t="s">
        <v>63</v>
      </c>
      <c r="C2" s="7" t="s">
        <v>65</v>
      </c>
      <c r="D2" s="7" t="s">
        <v>66</v>
      </c>
      <c r="E2" s="7" t="s">
        <v>67</v>
      </c>
      <c r="F2" s="7" t="s">
        <v>63</v>
      </c>
      <c r="G2" s="7" t="s">
        <v>301</v>
      </c>
      <c r="H2" s="7">
        <v>0</v>
      </c>
      <c r="I2" s="13">
        <v>1219.3</v>
      </c>
      <c r="J2" s="13">
        <v>1763.4</v>
      </c>
      <c r="K2" s="13">
        <v>2644.7</v>
      </c>
      <c r="L2" s="13">
        <v>2694.7</v>
      </c>
      <c r="M2" s="13">
        <v>3003.7</v>
      </c>
      <c r="N2" s="13">
        <v>3163.9</v>
      </c>
      <c r="O2" s="13">
        <v>3920.7</v>
      </c>
      <c r="P2" s="13">
        <v>3944.1</v>
      </c>
      <c r="Q2" s="13">
        <v>3979</v>
      </c>
      <c r="R2" s="13">
        <v>4059.4</v>
      </c>
      <c r="S2" s="13">
        <v>4114</v>
      </c>
      <c r="T2" s="13">
        <v>4174.7</v>
      </c>
      <c r="U2" s="13">
        <v>4180.1000000000004</v>
      </c>
      <c r="V2" s="7" t="s">
        <v>303</v>
      </c>
    </row>
    <row r="3" spans="1:41" x14ac:dyDescent="0.3">
      <c r="A3" s="12">
        <f t="shared" ref="A3:A8" si="0">B3/35*34+$A$1</f>
        <v>7067.5428571428574</v>
      </c>
      <c r="B3" s="12">
        <v>716</v>
      </c>
      <c r="C3" s="12">
        <v>1</v>
      </c>
      <c r="D3" s="7">
        <v>0.3</v>
      </c>
      <c r="E3" s="12">
        <f>D3*0.3</f>
        <v>0.09</v>
      </c>
      <c r="F3" s="7">
        <v>716</v>
      </c>
      <c r="G3" s="7">
        <v>7069</v>
      </c>
      <c r="H3" s="8">
        <v>49</v>
      </c>
      <c r="I3" s="8">
        <v>18</v>
      </c>
      <c r="J3" s="8">
        <v>14</v>
      </c>
      <c r="K3" s="9">
        <v>1.6</v>
      </c>
      <c r="L3" s="8">
        <v>5</v>
      </c>
      <c r="M3" s="8">
        <v>3</v>
      </c>
      <c r="N3" s="8">
        <v>6</v>
      </c>
      <c r="O3" s="10"/>
      <c r="P3" s="10"/>
      <c r="Q3" s="10"/>
      <c r="R3" s="9">
        <v>1.4</v>
      </c>
      <c r="S3" s="9">
        <v>0.6</v>
      </c>
      <c r="T3" s="10"/>
      <c r="U3" s="9">
        <v>0.5</v>
      </c>
      <c r="V3" s="7" t="s">
        <v>97</v>
      </c>
      <c r="AG3" s="10"/>
      <c r="AH3" s="10"/>
      <c r="AJ3" s="9"/>
      <c r="AK3" s="9"/>
    </row>
    <row r="4" spans="1:41" x14ac:dyDescent="0.3">
      <c r="A4" s="12">
        <f t="shared" si="0"/>
        <v>7105.04</v>
      </c>
      <c r="B4" s="12">
        <v>754.6</v>
      </c>
      <c r="C4" s="12">
        <v>1</v>
      </c>
      <c r="D4" s="7">
        <v>0.5</v>
      </c>
      <c r="E4" s="12">
        <f t="shared" ref="E4:E57" si="1">D4*0.3</f>
        <v>0.15</v>
      </c>
      <c r="F4" s="7">
        <v>755</v>
      </c>
      <c r="G4" s="7">
        <v>7106</v>
      </c>
      <c r="H4" s="8">
        <v>15</v>
      </c>
      <c r="I4" s="8">
        <v>64</v>
      </c>
      <c r="J4" s="8">
        <v>4</v>
      </c>
      <c r="K4" s="10"/>
      <c r="L4" s="8">
        <v>11</v>
      </c>
      <c r="M4" s="8">
        <v>3</v>
      </c>
      <c r="N4" s="10"/>
      <c r="O4" s="9">
        <v>1.5</v>
      </c>
      <c r="P4" s="10"/>
      <c r="Q4" s="10"/>
      <c r="R4" s="10"/>
      <c r="S4" s="10"/>
      <c r="T4" s="10"/>
      <c r="U4" s="9">
        <v>1.5</v>
      </c>
      <c r="AG4" s="10"/>
      <c r="AH4" s="10"/>
      <c r="AJ4" s="9"/>
      <c r="AK4" s="9"/>
    </row>
    <row r="5" spans="1:41" x14ac:dyDescent="0.3">
      <c r="A5" s="12">
        <f t="shared" si="0"/>
        <v>7180.4228571428575</v>
      </c>
      <c r="B5" s="12">
        <v>832.2</v>
      </c>
      <c r="C5" s="12">
        <v>1.5</v>
      </c>
      <c r="D5" s="7">
        <v>0.3</v>
      </c>
      <c r="E5" s="12">
        <f t="shared" si="1"/>
        <v>0.09</v>
      </c>
      <c r="F5" s="7">
        <v>832</v>
      </c>
      <c r="G5" s="7">
        <v>7181</v>
      </c>
      <c r="H5" s="8">
        <v>38</v>
      </c>
      <c r="I5" s="8">
        <v>17</v>
      </c>
      <c r="J5" s="10"/>
      <c r="K5" s="10"/>
      <c r="L5" s="8">
        <v>4</v>
      </c>
      <c r="M5" s="10"/>
      <c r="N5" s="10"/>
      <c r="O5" s="8">
        <v>3</v>
      </c>
      <c r="P5" s="10"/>
      <c r="Q5" s="8">
        <v>9</v>
      </c>
      <c r="R5" s="8">
        <v>22</v>
      </c>
      <c r="S5" s="10"/>
      <c r="T5" s="9">
        <v>0.8</v>
      </c>
      <c r="U5" s="10"/>
      <c r="V5" s="7" t="s">
        <v>102</v>
      </c>
      <c r="W5" s="7" t="s">
        <v>68</v>
      </c>
      <c r="X5" s="7" t="s">
        <v>103</v>
      </c>
      <c r="AG5" s="9"/>
      <c r="AH5" s="9"/>
      <c r="AJ5" s="10"/>
      <c r="AK5" s="10"/>
    </row>
    <row r="6" spans="1:41" x14ac:dyDescent="0.3">
      <c r="A6" s="12">
        <f t="shared" si="0"/>
        <v>7195.8685714285712</v>
      </c>
      <c r="B6" s="12">
        <v>848.1</v>
      </c>
      <c r="C6" s="12">
        <v>1</v>
      </c>
      <c r="D6" s="7">
        <v>1.2</v>
      </c>
      <c r="E6" s="12">
        <f t="shared" si="1"/>
        <v>0.36</v>
      </c>
      <c r="F6" s="7">
        <v>848</v>
      </c>
      <c r="G6" s="7">
        <v>7197</v>
      </c>
      <c r="H6" s="8">
        <v>2</v>
      </c>
      <c r="I6" s="8">
        <v>67</v>
      </c>
      <c r="J6" s="11">
        <v>0.5</v>
      </c>
      <c r="K6" s="10"/>
      <c r="L6" s="11">
        <v>1.1000000000000001</v>
      </c>
      <c r="M6" s="10"/>
      <c r="N6" s="10"/>
      <c r="O6" s="8">
        <v>4</v>
      </c>
      <c r="P6" s="10"/>
      <c r="Q6" s="9">
        <v>1.8</v>
      </c>
      <c r="R6" s="8">
        <v>3</v>
      </c>
      <c r="S6" s="10"/>
      <c r="T6" s="10"/>
      <c r="U6" s="8">
        <v>16</v>
      </c>
      <c r="V6" s="7" t="s">
        <v>104</v>
      </c>
      <c r="W6" s="7" t="s">
        <v>69</v>
      </c>
      <c r="X6" s="7" t="s">
        <v>105</v>
      </c>
      <c r="AG6" s="9"/>
      <c r="AH6" s="9"/>
      <c r="AJ6" s="10"/>
      <c r="AK6" s="10"/>
    </row>
    <row r="7" spans="1:41" x14ac:dyDescent="0.3">
      <c r="A7" s="12">
        <f t="shared" si="0"/>
        <v>7226.1771428571428</v>
      </c>
      <c r="B7" s="12">
        <v>879.3</v>
      </c>
      <c r="C7" s="12">
        <v>1</v>
      </c>
      <c r="D7" s="7">
        <v>0.3</v>
      </c>
      <c r="E7" s="12">
        <f t="shared" si="1"/>
        <v>0.09</v>
      </c>
      <c r="F7" s="7">
        <v>879</v>
      </c>
      <c r="G7" s="7">
        <v>7227</v>
      </c>
      <c r="H7" s="8">
        <v>59</v>
      </c>
      <c r="I7" s="10"/>
      <c r="J7" s="8">
        <v>7</v>
      </c>
      <c r="K7" s="10"/>
      <c r="L7" s="8">
        <v>10</v>
      </c>
      <c r="M7" s="10"/>
      <c r="N7" s="10"/>
      <c r="O7" s="9">
        <v>1.5</v>
      </c>
      <c r="P7" s="10"/>
      <c r="Q7" s="10"/>
      <c r="R7" s="8">
        <v>2</v>
      </c>
      <c r="S7" s="10"/>
      <c r="T7" s="10"/>
      <c r="U7" s="8">
        <v>8</v>
      </c>
      <c r="V7" s="10" t="s">
        <v>106</v>
      </c>
      <c r="W7" s="7" t="s">
        <v>70</v>
      </c>
      <c r="X7" s="7" t="s">
        <v>71</v>
      </c>
      <c r="Y7" s="7" t="s">
        <v>72</v>
      </c>
      <c r="Z7" s="7" t="s">
        <v>197</v>
      </c>
      <c r="AG7" s="10"/>
      <c r="AH7" s="10"/>
      <c r="AJ7" s="8"/>
      <c r="AK7" s="8"/>
    </row>
    <row r="8" spans="1:41" x14ac:dyDescent="0.3">
      <c r="A8" s="12">
        <f t="shared" si="0"/>
        <v>7235.1142857142859</v>
      </c>
      <c r="B8" s="12">
        <v>888.5</v>
      </c>
      <c r="C8" s="12">
        <v>1</v>
      </c>
      <c r="D8" s="7">
        <v>1.9</v>
      </c>
      <c r="E8" s="12">
        <f t="shared" si="1"/>
        <v>0.56999999999999995</v>
      </c>
      <c r="F8" s="7">
        <v>889</v>
      </c>
      <c r="G8" s="7">
        <v>7236</v>
      </c>
      <c r="H8" s="8">
        <v>93</v>
      </c>
      <c r="I8" s="9">
        <v>1.8</v>
      </c>
      <c r="J8" s="9">
        <v>0.2</v>
      </c>
      <c r="K8" s="9">
        <v>3</v>
      </c>
      <c r="L8" s="9">
        <v>1.8</v>
      </c>
      <c r="M8" s="10"/>
      <c r="N8" s="10"/>
      <c r="O8" s="10"/>
      <c r="P8" s="10"/>
      <c r="Q8" s="10"/>
      <c r="R8" s="10"/>
      <c r="S8" s="10"/>
      <c r="T8" s="10"/>
      <c r="U8" s="10"/>
      <c r="V8" s="7" t="s">
        <v>98</v>
      </c>
      <c r="AG8" s="10"/>
      <c r="AH8" s="10"/>
      <c r="AJ8" s="8"/>
      <c r="AK8" s="8"/>
    </row>
    <row r="9" spans="1:41" x14ac:dyDescent="0.3">
      <c r="A9" s="12">
        <f t="shared" ref="A9:A57" si="2">B9/35*34+$A$1</f>
        <v>7274.4571428571426</v>
      </c>
      <c r="B9" s="12">
        <v>929</v>
      </c>
      <c r="C9" s="12">
        <v>1</v>
      </c>
      <c r="D9" s="7">
        <v>2.2000000000000002</v>
      </c>
      <c r="E9" s="12">
        <f t="shared" si="1"/>
        <v>0.66</v>
      </c>
      <c r="F9" s="7">
        <v>929</v>
      </c>
      <c r="G9" s="7">
        <v>7275</v>
      </c>
      <c r="H9" s="8">
        <v>69</v>
      </c>
      <c r="I9" s="8">
        <v>24</v>
      </c>
      <c r="J9" s="10"/>
      <c r="K9" s="10"/>
      <c r="L9" s="11">
        <v>1.1000000000000001</v>
      </c>
      <c r="M9" s="10"/>
      <c r="N9" s="10"/>
      <c r="O9" s="10"/>
      <c r="P9" s="10"/>
      <c r="Q9" s="9">
        <v>0.8</v>
      </c>
      <c r="R9" s="9">
        <v>0.9</v>
      </c>
      <c r="S9" s="10"/>
      <c r="T9" s="9">
        <v>0.4</v>
      </c>
      <c r="U9" s="10"/>
      <c r="V9" s="7" t="s">
        <v>107</v>
      </c>
      <c r="W9" s="7" t="s">
        <v>73</v>
      </c>
      <c r="X9" s="7" t="s">
        <v>74</v>
      </c>
      <c r="Y9" s="7" t="s">
        <v>108</v>
      </c>
      <c r="AG9" s="10"/>
      <c r="AH9" s="10"/>
      <c r="AJ9" s="10"/>
      <c r="AK9" s="10"/>
    </row>
    <row r="10" spans="1:41" x14ac:dyDescent="0.3">
      <c r="A10" s="12">
        <f t="shared" si="2"/>
        <v>7363.8285714285712</v>
      </c>
      <c r="B10" s="12">
        <v>1021</v>
      </c>
      <c r="C10" s="12">
        <v>1</v>
      </c>
      <c r="D10" s="7">
        <v>3.1</v>
      </c>
      <c r="E10" s="12">
        <f t="shared" si="1"/>
        <v>0.92999999999999994</v>
      </c>
      <c r="F10" s="7">
        <v>1021</v>
      </c>
      <c r="G10" s="7">
        <v>7365</v>
      </c>
      <c r="H10" s="8">
        <v>10</v>
      </c>
      <c r="I10" s="8">
        <v>73</v>
      </c>
      <c r="J10" s="8">
        <v>8</v>
      </c>
      <c r="K10" s="10"/>
      <c r="L10" s="9">
        <v>0.5</v>
      </c>
      <c r="M10" s="9">
        <v>0.3</v>
      </c>
      <c r="N10" s="10"/>
      <c r="O10" s="9">
        <v>0.8</v>
      </c>
      <c r="P10" s="10"/>
      <c r="Q10" s="8">
        <v>3</v>
      </c>
      <c r="R10" s="8">
        <v>2</v>
      </c>
      <c r="S10" s="10"/>
      <c r="T10" s="10"/>
      <c r="U10" s="9">
        <v>0.5</v>
      </c>
      <c r="V10" s="7" t="s">
        <v>107</v>
      </c>
      <c r="W10" s="7" t="s">
        <v>75</v>
      </c>
      <c r="X10" s="7" t="s">
        <v>109</v>
      </c>
      <c r="AG10" s="9"/>
      <c r="AH10" s="9"/>
      <c r="AJ10" s="10"/>
      <c r="AK10" s="10"/>
    </row>
    <row r="11" spans="1:41" x14ac:dyDescent="0.3">
      <c r="A11" s="12">
        <f t="shared" si="2"/>
        <v>7398.7028571428573</v>
      </c>
      <c r="B11" s="7">
        <v>1056.9000000000001</v>
      </c>
      <c r="C11" s="7">
        <v>1.6</v>
      </c>
      <c r="D11" s="7">
        <v>0.5</v>
      </c>
      <c r="E11" s="12">
        <f t="shared" si="1"/>
        <v>0.15</v>
      </c>
      <c r="F11" s="7">
        <v>1057</v>
      </c>
      <c r="G11" s="7">
        <v>7400</v>
      </c>
      <c r="H11" s="10"/>
      <c r="I11" s="10"/>
      <c r="J11" s="8">
        <v>2</v>
      </c>
      <c r="K11" s="8">
        <v>13</v>
      </c>
      <c r="L11" s="10"/>
      <c r="M11" s="8">
        <v>14</v>
      </c>
      <c r="N11" s="8">
        <v>47</v>
      </c>
      <c r="O11" s="10"/>
      <c r="P11" s="8">
        <v>5</v>
      </c>
      <c r="Q11" s="10"/>
      <c r="R11" s="10"/>
      <c r="S11" s="8">
        <v>8</v>
      </c>
      <c r="T11" s="10"/>
      <c r="U11" s="10"/>
      <c r="V11" s="7" t="s">
        <v>99</v>
      </c>
      <c r="AG11" s="10"/>
      <c r="AH11" s="10"/>
      <c r="AJ11" s="9"/>
      <c r="AK11" s="9"/>
    </row>
    <row r="12" spans="1:41" x14ac:dyDescent="0.3">
      <c r="A12" s="12">
        <f t="shared" si="2"/>
        <v>7452.4228571428575</v>
      </c>
      <c r="B12" s="7">
        <v>1112.2</v>
      </c>
      <c r="C12" s="7">
        <v>0.6</v>
      </c>
      <c r="D12" s="7">
        <v>0.4</v>
      </c>
      <c r="E12" s="12">
        <f t="shared" si="1"/>
        <v>0.12</v>
      </c>
      <c r="F12" s="7">
        <v>1165</v>
      </c>
      <c r="G12" s="7">
        <v>7505</v>
      </c>
      <c r="H12" s="9">
        <v>0.3</v>
      </c>
      <c r="I12" s="8">
        <v>18</v>
      </c>
      <c r="J12" s="9">
        <v>0.7</v>
      </c>
      <c r="K12" s="8">
        <v>7</v>
      </c>
      <c r="L12" s="10"/>
      <c r="M12" s="8">
        <v>4</v>
      </c>
      <c r="N12" s="8">
        <v>4</v>
      </c>
      <c r="O12" s="10"/>
      <c r="P12" s="8">
        <v>2</v>
      </c>
      <c r="Q12" s="10"/>
      <c r="R12" s="8">
        <v>50</v>
      </c>
      <c r="S12" s="10"/>
      <c r="T12" s="10"/>
      <c r="U12" s="8">
        <v>3</v>
      </c>
      <c r="V12" s="7" t="s">
        <v>110</v>
      </c>
      <c r="W12" s="7" t="s">
        <v>77</v>
      </c>
      <c r="X12" s="7" t="s">
        <v>111</v>
      </c>
      <c r="AG12" s="10"/>
      <c r="AH12" s="10"/>
      <c r="AJ12" s="10"/>
      <c r="AK12" s="10"/>
    </row>
    <row r="13" spans="1:41" x14ac:dyDescent="0.3">
      <c r="A13" s="12">
        <f t="shared" si="2"/>
        <v>7504.1028571428569</v>
      </c>
      <c r="B13" s="7">
        <v>1165.4000000000001</v>
      </c>
      <c r="C13" s="7">
        <v>0.7</v>
      </c>
      <c r="D13" s="7">
        <v>0.8</v>
      </c>
      <c r="E13" s="12">
        <f t="shared" si="1"/>
        <v>0.24</v>
      </c>
      <c r="F13" s="7">
        <v>1212</v>
      </c>
      <c r="G13" s="7">
        <v>7551</v>
      </c>
      <c r="H13" s="9">
        <v>0.2</v>
      </c>
      <c r="I13" s="10"/>
      <c r="J13" s="9">
        <v>0.3</v>
      </c>
      <c r="K13" s="9">
        <v>0.5</v>
      </c>
      <c r="L13" s="10"/>
      <c r="M13" s="8">
        <v>2</v>
      </c>
      <c r="N13" s="8">
        <v>95</v>
      </c>
      <c r="O13" s="10"/>
      <c r="P13" s="10"/>
      <c r="Q13" s="10"/>
      <c r="R13" s="10"/>
      <c r="S13" s="10"/>
      <c r="T13" s="10"/>
      <c r="U13" s="10"/>
      <c r="V13" s="7" t="s">
        <v>112</v>
      </c>
      <c r="W13" s="7" t="s">
        <v>113</v>
      </c>
      <c r="X13" s="7" t="s">
        <v>114</v>
      </c>
      <c r="AG13" s="10"/>
      <c r="AH13" s="10"/>
      <c r="AJ13" s="8"/>
      <c r="AK13" s="8"/>
    </row>
    <row r="14" spans="1:41" x14ac:dyDescent="0.3">
      <c r="A14" s="12">
        <f t="shared" si="2"/>
        <v>7519.6457142857143</v>
      </c>
      <c r="B14" s="7">
        <v>1181.4000000000001</v>
      </c>
      <c r="C14" s="7">
        <v>0.7</v>
      </c>
      <c r="D14" s="7">
        <v>0.4</v>
      </c>
      <c r="E14" s="12">
        <f t="shared" si="1"/>
        <v>0.12</v>
      </c>
      <c r="F14" s="7">
        <v>1225</v>
      </c>
      <c r="G14" s="7">
        <v>7563</v>
      </c>
      <c r="H14" s="8">
        <v>34</v>
      </c>
      <c r="I14" s="8">
        <v>35</v>
      </c>
      <c r="J14" s="10"/>
      <c r="K14" s="10"/>
      <c r="L14" s="8">
        <v>22</v>
      </c>
      <c r="M14" s="10"/>
      <c r="N14" s="10"/>
      <c r="O14" s="9">
        <v>1.6</v>
      </c>
      <c r="P14" s="10"/>
      <c r="Q14" s="9">
        <v>0.5</v>
      </c>
      <c r="R14" s="8">
        <v>6</v>
      </c>
      <c r="S14" s="10"/>
      <c r="T14" s="10"/>
      <c r="U14" s="9">
        <v>0.9</v>
      </c>
      <c r="AG14" s="10"/>
      <c r="AH14" s="10"/>
      <c r="AJ14" s="10"/>
      <c r="AK14" s="10"/>
    </row>
    <row r="15" spans="1:41" x14ac:dyDescent="0.3">
      <c r="A15" s="12">
        <f t="shared" si="2"/>
        <v>7549.76</v>
      </c>
      <c r="B15" s="7">
        <v>1212.4000000000001</v>
      </c>
      <c r="C15" s="7">
        <v>0.7</v>
      </c>
      <c r="D15" s="7">
        <v>21</v>
      </c>
      <c r="E15" s="7">
        <v>3</v>
      </c>
      <c r="F15" s="7">
        <v>1266</v>
      </c>
      <c r="G15" s="7">
        <v>7602</v>
      </c>
      <c r="H15" s="8">
        <v>33</v>
      </c>
      <c r="I15" s="10">
        <v>1.1000000000000001</v>
      </c>
      <c r="J15" s="8">
        <v>19</v>
      </c>
      <c r="K15" s="9">
        <v>1.9</v>
      </c>
      <c r="L15" s="8">
        <v>18</v>
      </c>
      <c r="M15" s="8">
        <v>8</v>
      </c>
      <c r="N15" s="8">
        <v>5</v>
      </c>
      <c r="O15" s="10"/>
      <c r="P15" s="10"/>
      <c r="Q15" s="10"/>
      <c r="R15" s="8">
        <v>2</v>
      </c>
      <c r="S15" s="10"/>
      <c r="T15" s="10"/>
      <c r="U15" s="8">
        <v>3</v>
      </c>
      <c r="V15" s="7" t="s">
        <v>115</v>
      </c>
      <c r="W15" s="7" t="s">
        <v>78</v>
      </c>
      <c r="X15" s="7" t="s">
        <v>79</v>
      </c>
      <c r="Y15" s="7" t="s">
        <v>80</v>
      </c>
      <c r="Z15" s="7" t="s">
        <v>198</v>
      </c>
      <c r="AG15" s="10"/>
      <c r="AH15" s="10"/>
      <c r="AJ15" s="9"/>
      <c r="AK15" s="9"/>
    </row>
    <row r="16" spans="1:41" x14ac:dyDescent="0.3">
      <c r="A16" s="12">
        <f t="shared" si="2"/>
        <v>7562.2914285714287</v>
      </c>
      <c r="B16" s="7">
        <v>1225.3</v>
      </c>
      <c r="C16" s="7">
        <v>0.7</v>
      </c>
      <c r="D16" s="7">
        <v>1.5</v>
      </c>
      <c r="E16" s="12">
        <f t="shared" si="1"/>
        <v>0.44999999999999996</v>
      </c>
      <c r="F16" s="7">
        <v>1285</v>
      </c>
      <c r="G16" s="7">
        <v>7621</v>
      </c>
      <c r="H16" s="8">
        <v>78</v>
      </c>
      <c r="I16" s="10"/>
      <c r="J16" s="8">
        <v>10</v>
      </c>
      <c r="K16" s="10"/>
      <c r="L16" s="10"/>
      <c r="M16" s="10"/>
      <c r="N16" s="8">
        <v>3</v>
      </c>
      <c r="O16" s="10"/>
      <c r="P16" s="10"/>
      <c r="Q16" s="10"/>
      <c r="R16" s="8">
        <v>2</v>
      </c>
      <c r="S16" s="10"/>
      <c r="T16" s="10"/>
      <c r="U16" s="8">
        <v>3</v>
      </c>
      <c r="V16" s="7" t="s">
        <v>116</v>
      </c>
      <c r="W16" s="7" t="s">
        <v>81</v>
      </c>
      <c r="X16" s="7" t="s">
        <v>82</v>
      </c>
      <c r="Y16" s="7" t="s">
        <v>117</v>
      </c>
      <c r="AG16" s="10"/>
      <c r="AH16" s="10"/>
      <c r="AJ16" s="8"/>
      <c r="AK16" s="8"/>
    </row>
    <row r="17" spans="1:37" x14ac:dyDescent="0.3">
      <c r="A17" s="12">
        <f t="shared" si="2"/>
        <v>7601.5371428571425</v>
      </c>
      <c r="B17" s="7">
        <v>1265.7</v>
      </c>
      <c r="C17" s="7">
        <v>0.8</v>
      </c>
      <c r="D17" s="7">
        <v>2.8</v>
      </c>
      <c r="E17" s="12">
        <f t="shared" si="1"/>
        <v>0.84</v>
      </c>
      <c r="F17" s="7">
        <v>1340</v>
      </c>
      <c r="G17" s="7">
        <v>7674</v>
      </c>
      <c r="H17" s="9">
        <v>0.8</v>
      </c>
      <c r="I17" s="10"/>
      <c r="J17" s="8">
        <v>57</v>
      </c>
      <c r="K17" s="8">
        <v>13</v>
      </c>
      <c r="L17" s="10"/>
      <c r="M17" s="8">
        <v>9</v>
      </c>
      <c r="N17" s="9">
        <v>1.8</v>
      </c>
      <c r="O17" s="10"/>
      <c r="P17" s="10"/>
      <c r="Q17" s="10"/>
      <c r="R17" s="10"/>
      <c r="S17" s="10"/>
      <c r="T17" s="8">
        <v>5</v>
      </c>
      <c r="U17" s="10"/>
      <c r="V17" s="7" t="s">
        <v>118</v>
      </c>
      <c r="W17" s="7" t="s">
        <v>83</v>
      </c>
      <c r="X17" s="7" t="s">
        <v>84</v>
      </c>
      <c r="Y17" s="7" t="s">
        <v>85</v>
      </c>
      <c r="Z17" s="7" t="s">
        <v>199</v>
      </c>
      <c r="AG17" s="10"/>
      <c r="AH17" s="10"/>
      <c r="AJ17" s="8"/>
      <c r="AK17" s="8"/>
    </row>
    <row r="18" spans="1:37" x14ac:dyDescent="0.3">
      <c r="A18" s="12">
        <f t="shared" si="2"/>
        <v>7619.8</v>
      </c>
      <c r="B18" s="7">
        <v>1284.5</v>
      </c>
      <c r="C18" s="7">
        <v>0.5</v>
      </c>
      <c r="D18" s="7">
        <v>1.7</v>
      </c>
      <c r="E18" s="12">
        <f t="shared" si="1"/>
        <v>0.51</v>
      </c>
      <c r="F18" s="7">
        <v>1354</v>
      </c>
      <c r="G18" s="7">
        <v>7688</v>
      </c>
      <c r="H18" s="8">
        <v>70</v>
      </c>
      <c r="I18" s="9">
        <v>1</v>
      </c>
      <c r="J18" s="9">
        <v>0.7</v>
      </c>
      <c r="K18" s="10"/>
      <c r="L18" s="10"/>
      <c r="M18" s="8">
        <v>10</v>
      </c>
      <c r="N18" s="10"/>
      <c r="O18" s="10"/>
      <c r="P18" s="10"/>
      <c r="Q18" s="10"/>
      <c r="R18" s="8">
        <v>6</v>
      </c>
      <c r="S18" s="10"/>
      <c r="T18" s="8">
        <v>4</v>
      </c>
      <c r="U18" s="8">
        <v>3</v>
      </c>
      <c r="V18" s="7" t="s">
        <v>119</v>
      </c>
      <c r="W18" s="7" t="s">
        <v>86</v>
      </c>
      <c r="X18" s="7" t="s">
        <v>87</v>
      </c>
      <c r="Y18" s="7" t="s">
        <v>77</v>
      </c>
      <c r="AG18" s="8"/>
      <c r="AH18" s="8"/>
      <c r="AJ18" s="10"/>
      <c r="AK18" s="10"/>
    </row>
    <row r="19" spans="1:37" x14ac:dyDescent="0.3">
      <c r="A19" s="12">
        <f t="shared" si="2"/>
        <v>7658.3657142857137</v>
      </c>
      <c r="B19" s="7">
        <v>1324.2</v>
      </c>
      <c r="C19" s="7">
        <v>0.8</v>
      </c>
      <c r="D19" s="7">
        <v>0.8</v>
      </c>
      <c r="E19" s="12">
        <f t="shared" si="1"/>
        <v>0.24</v>
      </c>
      <c r="F19" s="7">
        <v>1375</v>
      </c>
      <c r="G19" s="7">
        <v>7709</v>
      </c>
      <c r="H19" s="8">
        <v>83</v>
      </c>
      <c r="I19" s="9">
        <v>0.5</v>
      </c>
      <c r="J19" s="9">
        <v>0.4</v>
      </c>
      <c r="K19" s="8">
        <v>4</v>
      </c>
      <c r="L19" s="10"/>
      <c r="M19" s="9">
        <v>1</v>
      </c>
      <c r="N19" s="10"/>
      <c r="O19" s="9">
        <v>0.6</v>
      </c>
      <c r="P19" s="10"/>
      <c r="Q19" s="10"/>
      <c r="R19" s="10"/>
      <c r="S19" s="8">
        <v>2</v>
      </c>
      <c r="T19" s="10"/>
      <c r="U19" s="8">
        <v>2</v>
      </c>
      <c r="V19" s="7" t="s">
        <v>120</v>
      </c>
      <c r="W19" s="7" t="s">
        <v>88</v>
      </c>
      <c r="X19" s="7" t="s">
        <v>89</v>
      </c>
      <c r="Y19" s="7" t="s">
        <v>121</v>
      </c>
      <c r="AG19" s="8"/>
      <c r="AH19" s="8"/>
      <c r="AJ19" s="8"/>
      <c r="AK19" s="8"/>
    </row>
    <row r="20" spans="1:37" x14ac:dyDescent="0.3">
      <c r="A20" s="12">
        <f t="shared" si="2"/>
        <v>7673.4228571428575</v>
      </c>
      <c r="B20" s="7">
        <v>1339.7</v>
      </c>
      <c r="C20" s="7">
        <v>0.8</v>
      </c>
      <c r="D20" s="7">
        <v>1.3</v>
      </c>
      <c r="E20" s="12">
        <f t="shared" si="1"/>
        <v>0.39</v>
      </c>
      <c r="F20" s="7">
        <v>1415</v>
      </c>
      <c r="G20" s="7">
        <v>7747</v>
      </c>
      <c r="H20" s="10"/>
      <c r="I20" s="9">
        <v>0.6</v>
      </c>
      <c r="J20" s="9">
        <v>2.4</v>
      </c>
      <c r="K20" s="8">
        <v>43</v>
      </c>
      <c r="L20" s="10"/>
      <c r="M20" s="10"/>
      <c r="N20" s="8">
        <v>16</v>
      </c>
      <c r="O20" s="10"/>
      <c r="P20" s="8">
        <v>10</v>
      </c>
      <c r="Q20" s="10"/>
      <c r="R20" s="10"/>
      <c r="S20" s="8">
        <v>6</v>
      </c>
      <c r="T20" s="10"/>
      <c r="U20" s="10"/>
      <c r="V20" s="7" t="s">
        <v>101</v>
      </c>
      <c r="W20" s="7" t="s">
        <v>122</v>
      </c>
      <c r="AG20" s="10"/>
      <c r="AH20" s="10"/>
      <c r="AJ20" s="8"/>
      <c r="AK20" s="8"/>
    </row>
    <row r="21" spans="1:37" x14ac:dyDescent="0.3">
      <c r="A21" s="12">
        <f t="shared" si="2"/>
        <v>7687.12</v>
      </c>
      <c r="B21" s="7">
        <v>1353.8</v>
      </c>
      <c r="C21" s="7">
        <v>0.8</v>
      </c>
      <c r="D21" s="7">
        <v>2.8</v>
      </c>
      <c r="E21" s="12">
        <f t="shared" si="1"/>
        <v>0.84</v>
      </c>
      <c r="F21" s="7">
        <v>1448</v>
      </c>
      <c r="G21" s="7">
        <v>7779</v>
      </c>
      <c r="H21" s="8">
        <v>18</v>
      </c>
      <c r="I21" s="11">
        <v>11</v>
      </c>
      <c r="J21" s="8">
        <v>40</v>
      </c>
      <c r="K21" s="9">
        <v>1.3</v>
      </c>
      <c r="L21" s="8">
        <v>9</v>
      </c>
      <c r="M21" s="8">
        <v>4</v>
      </c>
      <c r="N21" s="8">
        <v>2</v>
      </c>
      <c r="O21" s="10"/>
      <c r="P21" s="10"/>
      <c r="Q21" s="10"/>
      <c r="R21" s="11">
        <v>1.1000000000000001</v>
      </c>
      <c r="S21" s="10"/>
      <c r="T21" s="10"/>
      <c r="U21" s="8">
        <v>7</v>
      </c>
      <c r="V21" s="7" t="s">
        <v>123</v>
      </c>
      <c r="W21" s="7" t="s">
        <v>79</v>
      </c>
      <c r="X21" s="7" t="s">
        <v>90</v>
      </c>
      <c r="Y21" s="7" t="s">
        <v>124</v>
      </c>
      <c r="AG21" s="10"/>
      <c r="AH21" s="10"/>
      <c r="AJ21" s="10"/>
      <c r="AK21" s="10"/>
    </row>
    <row r="22" spans="1:37" x14ac:dyDescent="0.3">
      <c r="A22" s="12">
        <f t="shared" si="2"/>
        <v>7695.3771428571426</v>
      </c>
      <c r="B22" s="7">
        <v>1362.3</v>
      </c>
      <c r="C22" s="7">
        <v>0.8</v>
      </c>
      <c r="D22" s="7">
        <v>0.6</v>
      </c>
      <c r="E22" s="12">
        <f t="shared" si="1"/>
        <v>0.18</v>
      </c>
      <c r="F22" s="7">
        <v>1452</v>
      </c>
      <c r="G22" s="7">
        <v>7784</v>
      </c>
      <c r="H22" s="9">
        <v>1.7</v>
      </c>
      <c r="I22" s="9">
        <v>1.2</v>
      </c>
      <c r="J22" s="8">
        <v>18</v>
      </c>
      <c r="K22" s="8">
        <v>8</v>
      </c>
      <c r="L22" s="10"/>
      <c r="M22" s="10"/>
      <c r="N22" s="8">
        <v>5</v>
      </c>
      <c r="O22" s="11">
        <v>11</v>
      </c>
      <c r="P22" s="10"/>
      <c r="Q22" s="10"/>
      <c r="R22" s="9">
        <v>1.2</v>
      </c>
      <c r="S22" s="8">
        <v>6</v>
      </c>
      <c r="T22" s="8">
        <v>36</v>
      </c>
      <c r="U22" s="10"/>
      <c r="V22" s="7" t="s">
        <v>125</v>
      </c>
      <c r="W22" s="7" t="s">
        <v>91</v>
      </c>
      <c r="X22" s="7" t="s">
        <v>92</v>
      </c>
      <c r="Y22" s="7" t="s">
        <v>126</v>
      </c>
      <c r="AG22" s="10"/>
      <c r="AH22" s="10"/>
      <c r="AJ22" s="8"/>
      <c r="AK22" s="8"/>
    </row>
    <row r="23" spans="1:37" x14ac:dyDescent="0.3">
      <c r="A23" s="12">
        <f>B23/35*34+$A$1</f>
        <v>7707.8114285714282</v>
      </c>
      <c r="B23" s="7">
        <v>1375.1</v>
      </c>
      <c r="C23" s="7">
        <v>0.8</v>
      </c>
      <c r="D23" s="7">
        <v>4.4000000000000004</v>
      </c>
      <c r="E23" s="12">
        <f t="shared" si="1"/>
        <v>1.32</v>
      </c>
      <c r="F23" s="7">
        <v>1468</v>
      </c>
      <c r="G23" s="7">
        <v>7799</v>
      </c>
      <c r="H23" s="8">
        <v>83</v>
      </c>
      <c r="I23" s="8">
        <v>9</v>
      </c>
      <c r="J23" s="10"/>
      <c r="K23" s="10"/>
      <c r="L23" s="10"/>
      <c r="M23" s="10"/>
      <c r="N23" s="10"/>
      <c r="O23" s="10"/>
      <c r="P23" s="10"/>
      <c r="Q23" s="10"/>
      <c r="R23" s="9">
        <v>0.3</v>
      </c>
      <c r="S23" s="10"/>
      <c r="T23" s="10"/>
      <c r="U23" s="10"/>
      <c r="V23" s="7" t="s">
        <v>127</v>
      </c>
      <c r="W23" s="7" t="s">
        <v>93</v>
      </c>
      <c r="X23" s="7" t="s">
        <v>76</v>
      </c>
      <c r="Y23" s="7" t="s">
        <v>87</v>
      </c>
      <c r="Z23" s="7" t="s">
        <v>200</v>
      </c>
      <c r="AG23" s="8"/>
      <c r="AH23" s="8"/>
      <c r="AJ23" s="10"/>
      <c r="AK23" s="10"/>
    </row>
    <row r="24" spans="1:37" x14ac:dyDescent="0.3">
      <c r="A24" s="12">
        <f t="shared" si="2"/>
        <v>7746.28</v>
      </c>
      <c r="B24" s="7">
        <v>1414.7</v>
      </c>
      <c r="C24" s="7">
        <v>0.9</v>
      </c>
      <c r="D24" s="7">
        <v>1.7</v>
      </c>
      <c r="E24" s="12">
        <f t="shared" si="1"/>
        <v>0.51</v>
      </c>
      <c r="F24" s="7">
        <v>1511</v>
      </c>
      <c r="G24" s="7">
        <v>7841</v>
      </c>
      <c r="H24" s="8">
        <v>21</v>
      </c>
      <c r="I24" s="8">
        <v>37</v>
      </c>
      <c r="J24" s="9">
        <v>1.9</v>
      </c>
      <c r="K24" s="10"/>
      <c r="L24" s="10"/>
      <c r="M24" s="8">
        <v>4</v>
      </c>
      <c r="N24" s="10"/>
      <c r="O24" s="9">
        <v>0.2</v>
      </c>
      <c r="P24" s="9">
        <v>0.5</v>
      </c>
      <c r="Q24" s="10"/>
      <c r="R24" s="8">
        <v>2</v>
      </c>
      <c r="S24" s="10"/>
      <c r="T24" s="8">
        <v>3</v>
      </c>
      <c r="U24" s="8">
        <v>28</v>
      </c>
      <c r="V24" s="7" t="s">
        <v>128</v>
      </c>
      <c r="W24" s="7" t="s">
        <v>129</v>
      </c>
      <c r="X24" s="7" t="s">
        <v>130</v>
      </c>
      <c r="AG24" s="10"/>
      <c r="AH24" s="10"/>
      <c r="AJ24" s="10"/>
      <c r="AK24" s="10"/>
    </row>
    <row r="25" spans="1:37" x14ac:dyDescent="0.3">
      <c r="A25" s="12">
        <f t="shared" si="2"/>
        <v>7778.1428571428569</v>
      </c>
      <c r="B25" s="7">
        <v>1447.5</v>
      </c>
      <c r="C25" s="7">
        <v>0.9</v>
      </c>
      <c r="D25" s="7">
        <v>1.5</v>
      </c>
      <c r="E25" s="12">
        <f t="shared" si="1"/>
        <v>0.44999999999999996</v>
      </c>
      <c r="F25" s="7">
        <v>1542</v>
      </c>
      <c r="G25" s="7">
        <v>7871</v>
      </c>
      <c r="H25" s="8">
        <v>61</v>
      </c>
      <c r="I25" s="8">
        <v>13</v>
      </c>
      <c r="J25" s="8">
        <v>17</v>
      </c>
      <c r="K25" s="10"/>
      <c r="L25" s="10"/>
      <c r="M25" s="10"/>
      <c r="N25" s="10"/>
      <c r="O25" s="10"/>
      <c r="P25" s="10"/>
      <c r="Q25" s="10"/>
      <c r="R25" s="10"/>
      <c r="S25" s="10"/>
      <c r="T25" s="8">
        <v>5</v>
      </c>
      <c r="U25" s="10"/>
      <c r="V25" s="7" t="s">
        <v>131</v>
      </c>
      <c r="W25" s="7" t="s">
        <v>132</v>
      </c>
    </row>
    <row r="26" spans="1:37" x14ac:dyDescent="0.3">
      <c r="A26" s="12">
        <f t="shared" si="2"/>
        <v>7782.8057142857142</v>
      </c>
      <c r="B26" s="7">
        <v>1452.3</v>
      </c>
      <c r="C26" s="7">
        <v>1.3</v>
      </c>
      <c r="D26" s="7">
        <v>0.9</v>
      </c>
      <c r="E26" s="12">
        <f t="shared" si="1"/>
        <v>0.27</v>
      </c>
      <c r="F26" s="7">
        <v>1555</v>
      </c>
      <c r="G26" s="7">
        <v>7883</v>
      </c>
      <c r="H26" s="8">
        <v>10</v>
      </c>
      <c r="I26" s="10"/>
      <c r="J26" s="8">
        <v>30</v>
      </c>
      <c r="K26" s="10"/>
      <c r="L26" s="8">
        <v>25</v>
      </c>
      <c r="M26" s="8">
        <v>11</v>
      </c>
      <c r="N26" s="10"/>
      <c r="O26" s="8">
        <v>2</v>
      </c>
      <c r="P26" s="10"/>
      <c r="Q26" s="10"/>
      <c r="R26" s="8">
        <v>2</v>
      </c>
      <c r="S26" s="9">
        <v>1.3</v>
      </c>
      <c r="T26" s="10"/>
      <c r="U26" s="8">
        <v>3</v>
      </c>
      <c r="V26" s="7" t="s">
        <v>133</v>
      </c>
      <c r="W26" s="7" t="s">
        <v>134</v>
      </c>
      <c r="X26" s="7" t="s">
        <v>135</v>
      </c>
    </row>
    <row r="27" spans="1:37" x14ac:dyDescent="0.3">
      <c r="A27" s="12">
        <f t="shared" si="2"/>
        <v>7798.2514285714287</v>
      </c>
      <c r="B27" s="7">
        <v>1468.2</v>
      </c>
      <c r="C27" s="7">
        <v>0.9</v>
      </c>
      <c r="D27" s="7">
        <v>1.4</v>
      </c>
      <c r="E27" s="12">
        <f t="shared" si="1"/>
        <v>0.42</v>
      </c>
      <c r="F27" s="7">
        <v>1574</v>
      </c>
      <c r="G27" s="7">
        <v>7901</v>
      </c>
      <c r="H27" s="8">
        <v>4</v>
      </c>
      <c r="I27" s="10"/>
      <c r="J27" s="8">
        <v>68</v>
      </c>
      <c r="K27" s="10"/>
      <c r="L27" s="9">
        <v>1.3</v>
      </c>
      <c r="M27" s="10"/>
      <c r="N27" s="8">
        <v>4</v>
      </c>
      <c r="O27" s="10"/>
      <c r="P27" s="10"/>
      <c r="Q27" s="10"/>
      <c r="R27" s="8">
        <v>3</v>
      </c>
      <c r="S27" s="10"/>
      <c r="T27" s="8">
        <v>8</v>
      </c>
      <c r="U27" s="8">
        <v>8</v>
      </c>
      <c r="V27" s="7" t="s">
        <v>136</v>
      </c>
      <c r="W27" s="7" t="s">
        <v>137</v>
      </c>
      <c r="X27" s="7" t="s">
        <v>138</v>
      </c>
      <c r="Y27" s="7" t="s">
        <v>139</v>
      </c>
    </row>
    <row r="28" spans="1:37" x14ac:dyDescent="0.3">
      <c r="A28" s="12">
        <f t="shared" si="2"/>
        <v>7839.0514285714289</v>
      </c>
      <c r="B28" s="12">
        <v>1510.2</v>
      </c>
      <c r="C28" s="12">
        <v>1</v>
      </c>
      <c r="D28" s="7">
        <v>4.8</v>
      </c>
      <c r="E28" s="12">
        <f t="shared" si="1"/>
        <v>1.44</v>
      </c>
      <c r="F28" s="7">
        <v>1598</v>
      </c>
      <c r="G28" s="7">
        <v>7925</v>
      </c>
      <c r="H28" s="8">
        <v>41</v>
      </c>
      <c r="I28" s="8">
        <v>27</v>
      </c>
      <c r="J28" s="9">
        <v>1.5</v>
      </c>
      <c r="K28" s="9">
        <v>0.9</v>
      </c>
      <c r="L28" s="8">
        <v>11</v>
      </c>
      <c r="M28" s="9">
        <v>0.9</v>
      </c>
      <c r="N28" s="10"/>
      <c r="O28" s="9">
        <v>1.2</v>
      </c>
      <c r="P28" s="10"/>
      <c r="Q28" s="9">
        <v>1.5</v>
      </c>
      <c r="R28" s="9">
        <v>1.7</v>
      </c>
      <c r="S28" s="10"/>
      <c r="T28" s="8">
        <v>5</v>
      </c>
      <c r="U28" s="8">
        <v>3</v>
      </c>
      <c r="V28" s="7" t="s">
        <v>140</v>
      </c>
      <c r="W28" s="7" t="s">
        <v>100</v>
      </c>
      <c r="X28" s="7" t="s">
        <v>141</v>
      </c>
    </row>
    <row r="29" spans="1:37" x14ac:dyDescent="0.3">
      <c r="A29" s="12">
        <f t="shared" si="2"/>
        <v>7840.4114285714286</v>
      </c>
      <c r="B29" s="12">
        <v>1511.6</v>
      </c>
      <c r="C29" s="12">
        <v>0.9</v>
      </c>
      <c r="D29" s="7">
        <v>6.1</v>
      </c>
      <c r="E29" s="12">
        <f t="shared" si="1"/>
        <v>1.8299999999999998</v>
      </c>
      <c r="F29" s="7">
        <v>1647</v>
      </c>
      <c r="G29" s="7">
        <v>7973</v>
      </c>
      <c r="H29" s="10"/>
      <c r="I29" s="9">
        <v>1</v>
      </c>
      <c r="J29" s="8">
        <v>20</v>
      </c>
      <c r="K29" s="8">
        <v>20</v>
      </c>
      <c r="L29" s="10"/>
      <c r="M29" s="8">
        <v>5</v>
      </c>
      <c r="N29" s="8">
        <v>10</v>
      </c>
      <c r="O29" s="10"/>
      <c r="P29" s="10"/>
      <c r="Q29" s="10"/>
      <c r="R29" s="10"/>
      <c r="S29" s="8">
        <v>6</v>
      </c>
      <c r="T29" s="10"/>
      <c r="U29" s="8">
        <v>6</v>
      </c>
      <c r="V29" s="7" t="s">
        <v>142</v>
      </c>
      <c r="W29" s="7" t="s">
        <v>143</v>
      </c>
      <c r="X29" s="7" t="s">
        <v>144</v>
      </c>
      <c r="Y29" s="7" t="s">
        <v>145</v>
      </c>
      <c r="Z29" s="7" t="s">
        <v>146</v>
      </c>
      <c r="AA29" s="7" t="s">
        <v>201</v>
      </c>
    </row>
    <row r="30" spans="1:37" x14ac:dyDescent="0.3">
      <c r="A30" s="12">
        <f t="shared" si="2"/>
        <v>7870.1371428571429</v>
      </c>
      <c r="B30" s="12">
        <v>1542.2</v>
      </c>
      <c r="C30" s="12">
        <v>1</v>
      </c>
      <c r="D30" s="12">
        <v>1</v>
      </c>
      <c r="E30" s="12">
        <f t="shared" si="1"/>
        <v>0.3</v>
      </c>
      <c r="F30" s="7">
        <v>1666</v>
      </c>
      <c r="G30" s="7">
        <v>7991</v>
      </c>
      <c r="H30" s="8">
        <v>36</v>
      </c>
      <c r="I30" s="8">
        <v>60</v>
      </c>
      <c r="J30" s="10"/>
      <c r="K30" s="10"/>
      <c r="L30" s="10"/>
      <c r="M30" s="10"/>
      <c r="N30" s="10"/>
      <c r="O30" s="10"/>
      <c r="P30" s="10"/>
      <c r="Q30" s="10"/>
      <c r="R30" s="9">
        <v>1</v>
      </c>
      <c r="S30" s="10"/>
      <c r="T30" s="9" t="s">
        <v>94</v>
      </c>
      <c r="U30" s="9" t="s">
        <v>94</v>
      </c>
      <c r="V30" s="7" t="s">
        <v>147</v>
      </c>
      <c r="W30" s="7" t="s">
        <v>206</v>
      </c>
    </row>
    <row r="31" spans="1:37" x14ac:dyDescent="0.3">
      <c r="A31" s="12">
        <f t="shared" si="2"/>
        <v>7882.28</v>
      </c>
      <c r="B31" s="12">
        <v>1554.7</v>
      </c>
      <c r="C31" s="12">
        <v>0.9</v>
      </c>
      <c r="D31" s="7">
        <v>2.2000000000000002</v>
      </c>
      <c r="E31" s="12">
        <f t="shared" si="1"/>
        <v>0.66</v>
      </c>
      <c r="F31" s="7">
        <v>1673</v>
      </c>
      <c r="G31" s="7">
        <v>7998</v>
      </c>
      <c r="H31" s="8">
        <v>78</v>
      </c>
      <c r="I31" s="10"/>
      <c r="J31" s="9">
        <v>0.9</v>
      </c>
      <c r="K31" s="9">
        <v>0.6</v>
      </c>
      <c r="L31" s="9">
        <v>0.2</v>
      </c>
      <c r="M31" s="8">
        <v>2</v>
      </c>
      <c r="N31" s="8">
        <v>7</v>
      </c>
      <c r="O31" s="10"/>
      <c r="P31" s="10"/>
      <c r="Q31" s="10"/>
      <c r="R31" s="11">
        <v>1.1000000000000001</v>
      </c>
      <c r="S31" s="10"/>
      <c r="T31" s="10"/>
      <c r="U31" s="8">
        <v>4</v>
      </c>
      <c r="V31" s="7" t="s">
        <v>148</v>
      </c>
      <c r="W31" s="7" t="s">
        <v>149</v>
      </c>
      <c r="X31" s="7" t="s">
        <v>150</v>
      </c>
      <c r="Y31" s="7" t="s">
        <v>151</v>
      </c>
    </row>
    <row r="32" spans="1:37" x14ac:dyDescent="0.3">
      <c r="A32" s="12">
        <f t="shared" si="2"/>
        <v>7900.7371428571432</v>
      </c>
      <c r="B32" s="12">
        <v>1573.7</v>
      </c>
      <c r="C32" s="12">
        <v>0.7</v>
      </c>
      <c r="D32" s="7">
        <v>2.2000000000000002</v>
      </c>
      <c r="E32" s="12">
        <f t="shared" si="1"/>
        <v>0.66</v>
      </c>
      <c r="F32" s="7">
        <v>1678</v>
      </c>
      <c r="G32" s="7">
        <v>8003</v>
      </c>
      <c r="H32" s="9">
        <v>1.4</v>
      </c>
      <c r="I32" s="10"/>
      <c r="J32" s="8">
        <v>70</v>
      </c>
      <c r="K32" s="9">
        <v>1.6</v>
      </c>
      <c r="L32" s="10"/>
      <c r="M32" s="10"/>
      <c r="N32" s="9">
        <v>0.8</v>
      </c>
      <c r="O32" s="10"/>
      <c r="P32" s="8">
        <v>3</v>
      </c>
      <c r="Q32" s="10"/>
      <c r="R32" s="10"/>
      <c r="S32" s="10"/>
      <c r="T32" s="8">
        <v>10</v>
      </c>
      <c r="U32" s="10"/>
      <c r="V32" s="7" t="s">
        <v>152</v>
      </c>
      <c r="W32" s="7" t="s">
        <v>153</v>
      </c>
      <c r="X32" s="7" t="s">
        <v>154</v>
      </c>
      <c r="Y32" s="7" t="s">
        <v>155</v>
      </c>
      <c r="Z32" s="7" t="s">
        <v>202</v>
      </c>
    </row>
    <row r="33" spans="1:28" x14ac:dyDescent="0.3">
      <c r="A33" s="12">
        <f t="shared" si="2"/>
        <v>7924.7314285714292</v>
      </c>
      <c r="B33" s="12">
        <v>1598.4</v>
      </c>
      <c r="C33" s="12">
        <v>0.9</v>
      </c>
      <c r="D33" s="12">
        <v>1</v>
      </c>
      <c r="E33" s="12">
        <f t="shared" si="1"/>
        <v>0.3</v>
      </c>
      <c r="F33" s="7">
        <v>1683</v>
      </c>
      <c r="G33" s="7">
        <v>8007</v>
      </c>
      <c r="H33" s="8">
        <v>55</v>
      </c>
      <c r="I33" s="9">
        <v>0.6</v>
      </c>
      <c r="J33" s="8">
        <v>15</v>
      </c>
      <c r="K33" s="8">
        <v>4</v>
      </c>
      <c r="L33" s="9">
        <v>1.7</v>
      </c>
      <c r="M33" s="8">
        <v>2</v>
      </c>
      <c r="N33" s="8">
        <v>15</v>
      </c>
      <c r="O33" s="10"/>
      <c r="P33" s="10"/>
      <c r="Q33" s="10"/>
      <c r="R33" s="10"/>
      <c r="S33" s="10"/>
      <c r="T33" s="9" t="s">
        <v>95</v>
      </c>
      <c r="U33" s="9" t="s">
        <v>95</v>
      </c>
      <c r="V33" s="7" t="s">
        <v>156</v>
      </c>
      <c r="W33" s="7" t="s">
        <v>157</v>
      </c>
      <c r="X33" s="7" t="s">
        <v>158</v>
      </c>
    </row>
    <row r="34" spans="1:28" x14ac:dyDescent="0.3">
      <c r="A34" s="12">
        <f t="shared" si="2"/>
        <v>7972.04</v>
      </c>
      <c r="B34" s="12">
        <v>1647.1</v>
      </c>
      <c r="C34" s="12">
        <v>1</v>
      </c>
      <c r="D34" s="7">
        <v>1.9</v>
      </c>
      <c r="E34" s="12">
        <f t="shared" si="1"/>
        <v>0.56999999999999995</v>
      </c>
      <c r="F34" s="7">
        <v>1717</v>
      </c>
      <c r="G34" s="7">
        <v>8041</v>
      </c>
      <c r="H34" s="8">
        <v>8</v>
      </c>
      <c r="I34" s="8">
        <v>4</v>
      </c>
      <c r="J34" s="8">
        <v>15</v>
      </c>
      <c r="K34" s="10"/>
      <c r="L34" s="8">
        <v>57</v>
      </c>
      <c r="M34" s="8">
        <v>4</v>
      </c>
      <c r="N34" s="10"/>
      <c r="O34" s="9">
        <v>1.4</v>
      </c>
      <c r="P34" s="10"/>
      <c r="Q34" s="9">
        <v>0.8</v>
      </c>
      <c r="R34" s="8">
        <v>3</v>
      </c>
      <c r="S34" s="10"/>
      <c r="T34" s="10"/>
      <c r="U34" s="9">
        <v>1.6</v>
      </c>
      <c r="V34" s="7" t="s">
        <v>159</v>
      </c>
      <c r="W34" s="7" t="s">
        <v>160</v>
      </c>
      <c r="X34" s="7" t="s">
        <v>161</v>
      </c>
    </row>
    <row r="35" spans="1:28" x14ac:dyDescent="0.3">
      <c r="A35" s="12">
        <f t="shared" si="2"/>
        <v>7990.4971428571425</v>
      </c>
      <c r="B35" s="12">
        <v>1666.1</v>
      </c>
      <c r="C35" s="12">
        <v>1</v>
      </c>
      <c r="D35" s="7">
        <v>1.2</v>
      </c>
      <c r="E35" s="12">
        <f t="shared" si="1"/>
        <v>0.36</v>
      </c>
      <c r="F35" s="7">
        <v>1756</v>
      </c>
      <c r="G35" s="7">
        <v>8077</v>
      </c>
      <c r="H35" s="10"/>
      <c r="I35" s="10"/>
      <c r="J35" s="8">
        <v>56</v>
      </c>
      <c r="K35" s="10"/>
      <c r="L35" s="10"/>
      <c r="M35" s="8">
        <v>2</v>
      </c>
      <c r="N35" s="10"/>
      <c r="O35" s="10"/>
      <c r="P35" s="10"/>
      <c r="Q35" s="10"/>
      <c r="R35" s="10"/>
      <c r="S35" s="10"/>
      <c r="T35" s="10"/>
      <c r="U35" s="8">
        <v>8</v>
      </c>
      <c r="V35" s="7" t="s">
        <v>162</v>
      </c>
      <c r="W35" s="7" t="s">
        <v>163</v>
      </c>
      <c r="X35" s="7" t="s">
        <v>164</v>
      </c>
      <c r="Y35" s="7" t="s">
        <v>165</v>
      </c>
    </row>
    <row r="36" spans="1:28" x14ac:dyDescent="0.3">
      <c r="A36" s="12">
        <f t="shared" si="2"/>
        <v>7996.908571428572</v>
      </c>
      <c r="B36" s="12">
        <v>1672.7</v>
      </c>
      <c r="C36" s="12">
        <v>1</v>
      </c>
      <c r="D36" s="7">
        <v>2.1</v>
      </c>
      <c r="E36" s="12">
        <f t="shared" si="1"/>
        <v>0.63</v>
      </c>
      <c r="F36" s="7">
        <v>1776</v>
      </c>
      <c r="G36" s="7">
        <v>8098</v>
      </c>
      <c r="H36" s="8">
        <v>39</v>
      </c>
      <c r="I36" s="10"/>
      <c r="J36" s="8">
        <v>8</v>
      </c>
      <c r="K36" s="8">
        <v>17</v>
      </c>
      <c r="L36" s="8">
        <v>5</v>
      </c>
      <c r="M36" s="10"/>
      <c r="N36" s="8">
        <v>5</v>
      </c>
      <c r="O36" s="9">
        <v>1.8</v>
      </c>
      <c r="P36" s="10"/>
      <c r="Q36" s="10"/>
      <c r="R36" s="8">
        <v>2</v>
      </c>
      <c r="S36" s="10"/>
      <c r="T36" s="10"/>
      <c r="U36" s="9">
        <v>1.9</v>
      </c>
      <c r="V36" s="7" t="s">
        <v>101</v>
      </c>
      <c r="W36" s="7" t="s">
        <v>166</v>
      </c>
      <c r="X36" s="7" t="s">
        <v>167</v>
      </c>
      <c r="Y36" s="7" t="s">
        <v>168</v>
      </c>
      <c r="Z36" s="7" t="s">
        <v>203</v>
      </c>
      <c r="AA36" s="7" t="s">
        <v>169</v>
      </c>
      <c r="AB36" s="7" t="s">
        <v>170</v>
      </c>
    </row>
    <row r="37" spans="1:28" x14ac:dyDescent="0.3">
      <c r="A37" s="12">
        <f t="shared" si="2"/>
        <v>8002.1542857142858</v>
      </c>
      <c r="B37" s="12">
        <v>1678.1</v>
      </c>
      <c r="C37" s="12">
        <v>0.9</v>
      </c>
      <c r="D37" s="7">
        <v>2.9</v>
      </c>
      <c r="E37" s="12">
        <f t="shared" si="1"/>
        <v>0.87</v>
      </c>
      <c r="F37" s="7">
        <v>1787</v>
      </c>
      <c r="G37" s="7">
        <v>8109</v>
      </c>
      <c r="H37" s="8">
        <v>37</v>
      </c>
      <c r="I37" s="8">
        <v>35</v>
      </c>
      <c r="J37" s="8">
        <v>3</v>
      </c>
      <c r="K37" s="10"/>
      <c r="L37" s="8">
        <v>9</v>
      </c>
      <c r="M37" s="8">
        <v>9</v>
      </c>
      <c r="N37" s="10"/>
      <c r="O37" s="10"/>
      <c r="P37" s="10"/>
      <c r="Q37" s="8">
        <v>3</v>
      </c>
      <c r="R37" s="9">
        <v>1.3</v>
      </c>
      <c r="S37" s="10"/>
      <c r="T37" s="10"/>
      <c r="U37" s="9">
        <v>1.6</v>
      </c>
      <c r="V37" s="7" t="s">
        <v>171</v>
      </c>
      <c r="W37" s="7" t="s">
        <v>161</v>
      </c>
    </row>
    <row r="38" spans="1:28" x14ac:dyDescent="0.3">
      <c r="A38" s="12">
        <f t="shared" si="2"/>
        <v>8006.4285714285716</v>
      </c>
      <c r="B38" s="12">
        <v>1682.5</v>
      </c>
      <c r="C38" s="12">
        <v>1</v>
      </c>
      <c r="D38" s="7">
        <v>4.8</v>
      </c>
      <c r="E38" s="12">
        <f t="shared" si="1"/>
        <v>1.44</v>
      </c>
      <c r="F38" s="7">
        <v>1794</v>
      </c>
      <c r="G38" s="7">
        <v>8116</v>
      </c>
      <c r="H38" s="8">
        <v>25</v>
      </c>
      <c r="I38" s="8">
        <v>32</v>
      </c>
      <c r="J38" s="8">
        <v>5</v>
      </c>
      <c r="K38" s="10"/>
      <c r="L38" s="8">
        <v>13</v>
      </c>
      <c r="M38" s="9">
        <v>1.9</v>
      </c>
      <c r="N38" s="10"/>
      <c r="O38" s="10"/>
      <c r="P38" s="10"/>
      <c r="Q38" s="8">
        <v>5</v>
      </c>
      <c r="R38" s="9">
        <v>1.3</v>
      </c>
      <c r="S38" s="10"/>
      <c r="T38" s="8">
        <v>7</v>
      </c>
      <c r="U38" s="10"/>
      <c r="V38" s="7" t="s">
        <v>172</v>
      </c>
      <c r="W38" s="7" t="s">
        <v>173</v>
      </c>
      <c r="X38" s="7" t="s">
        <v>174</v>
      </c>
      <c r="Y38" s="7" t="s">
        <v>175</v>
      </c>
    </row>
    <row r="39" spans="1:28" x14ac:dyDescent="0.3">
      <c r="A39" s="12">
        <f t="shared" si="2"/>
        <v>8037.9028571428571</v>
      </c>
      <c r="B39" s="12">
        <v>1714.9</v>
      </c>
      <c r="C39" s="12">
        <v>1</v>
      </c>
      <c r="D39" s="7">
        <v>0.8</v>
      </c>
      <c r="E39" s="12">
        <f t="shared" si="1"/>
        <v>0.24</v>
      </c>
      <c r="F39" s="7">
        <v>1830</v>
      </c>
      <c r="G39" s="7">
        <v>8150</v>
      </c>
      <c r="H39" s="8">
        <v>62</v>
      </c>
      <c r="I39" s="8">
        <v>15</v>
      </c>
      <c r="J39" s="10"/>
      <c r="K39" s="10"/>
      <c r="L39" s="8">
        <v>3</v>
      </c>
      <c r="M39" s="10"/>
      <c r="N39" s="10"/>
      <c r="O39" s="8">
        <v>3</v>
      </c>
      <c r="P39" s="10"/>
      <c r="Q39" s="8">
        <v>2</v>
      </c>
      <c r="R39" s="8">
        <v>3</v>
      </c>
      <c r="S39" s="10"/>
      <c r="T39" s="10"/>
      <c r="U39" s="8">
        <v>8</v>
      </c>
      <c r="V39" s="7" t="s">
        <v>131</v>
      </c>
      <c r="W39" s="7" t="s">
        <v>176</v>
      </c>
    </row>
    <row r="40" spans="1:28" x14ac:dyDescent="0.3">
      <c r="A40" s="12">
        <f t="shared" si="2"/>
        <v>8040.2342857142858</v>
      </c>
      <c r="B40" s="12">
        <v>1717.3</v>
      </c>
      <c r="C40" s="12">
        <v>1.1000000000000001</v>
      </c>
      <c r="D40" s="7">
        <v>2.9</v>
      </c>
      <c r="E40" s="12">
        <f t="shared" si="1"/>
        <v>0.87</v>
      </c>
      <c r="F40" s="7">
        <v>1839</v>
      </c>
      <c r="G40" s="7">
        <v>8159</v>
      </c>
      <c r="H40" s="8">
        <v>3</v>
      </c>
      <c r="I40" s="10"/>
      <c r="J40" s="9">
        <v>1</v>
      </c>
      <c r="K40" s="8">
        <v>51</v>
      </c>
      <c r="L40" s="10"/>
      <c r="M40" s="8">
        <v>6</v>
      </c>
      <c r="N40" s="8">
        <v>5</v>
      </c>
      <c r="O40" s="10"/>
      <c r="P40" s="8">
        <v>2</v>
      </c>
      <c r="Q40" s="10"/>
      <c r="R40" s="9">
        <v>1</v>
      </c>
      <c r="S40" s="8">
        <v>7</v>
      </c>
      <c r="T40" s="10"/>
      <c r="U40" s="8">
        <v>5</v>
      </c>
      <c r="V40" s="7" t="s">
        <v>177</v>
      </c>
      <c r="W40" s="7" t="s">
        <v>178</v>
      </c>
      <c r="X40" s="7" t="s">
        <v>179</v>
      </c>
      <c r="Y40" s="7" t="s">
        <v>180</v>
      </c>
    </row>
    <row r="41" spans="1:28" x14ac:dyDescent="0.3">
      <c r="A41" s="12">
        <f t="shared" si="2"/>
        <v>8077.5371428571425</v>
      </c>
      <c r="B41" s="12">
        <v>1755.7</v>
      </c>
      <c r="C41" s="12">
        <v>1.1000000000000001</v>
      </c>
      <c r="D41" s="7">
        <v>1.6</v>
      </c>
      <c r="E41" s="12">
        <f t="shared" si="1"/>
        <v>0.48</v>
      </c>
      <c r="F41" s="7">
        <v>1891</v>
      </c>
      <c r="G41" s="7">
        <v>8210</v>
      </c>
      <c r="H41" s="8">
        <v>78</v>
      </c>
      <c r="I41" s="8">
        <v>3</v>
      </c>
      <c r="J41" s="8">
        <v>14</v>
      </c>
      <c r="K41" s="10"/>
      <c r="L41" s="9">
        <v>0.5</v>
      </c>
      <c r="M41" s="11">
        <v>1.1000000000000001</v>
      </c>
      <c r="N41" s="10"/>
      <c r="O41" s="10"/>
      <c r="P41" s="10"/>
      <c r="Q41" s="10"/>
      <c r="R41" s="9">
        <v>1.5</v>
      </c>
      <c r="S41" s="10"/>
      <c r="T41" s="10"/>
      <c r="U41" s="10"/>
      <c r="V41" s="7" t="s">
        <v>181</v>
      </c>
      <c r="W41" s="7" t="s">
        <v>137</v>
      </c>
      <c r="X41" s="7" t="s">
        <v>182</v>
      </c>
    </row>
    <row r="42" spans="1:28" x14ac:dyDescent="0.3">
      <c r="A42" s="12">
        <f t="shared" si="2"/>
        <v>8097.2571428571428</v>
      </c>
      <c r="B42" s="12">
        <v>1776</v>
      </c>
      <c r="C42" s="12">
        <v>1.1000000000000001</v>
      </c>
      <c r="D42" s="7">
        <v>2.4</v>
      </c>
      <c r="E42" s="12">
        <f t="shared" si="1"/>
        <v>0.72</v>
      </c>
      <c r="F42" s="7">
        <v>1900</v>
      </c>
      <c r="G42" s="7">
        <v>8218</v>
      </c>
      <c r="H42" s="8">
        <v>45</v>
      </c>
      <c r="I42" s="10"/>
      <c r="J42" s="9">
        <v>1.4</v>
      </c>
      <c r="K42" s="10"/>
      <c r="L42" s="8">
        <v>3</v>
      </c>
      <c r="M42" s="8">
        <v>5</v>
      </c>
      <c r="N42" s="8">
        <v>41</v>
      </c>
      <c r="O42" s="10"/>
      <c r="P42" s="10"/>
      <c r="Q42" s="10"/>
      <c r="R42" s="10"/>
      <c r="S42" s="10"/>
      <c r="T42" s="8" t="s">
        <v>96</v>
      </c>
      <c r="U42" s="8" t="s">
        <v>96</v>
      </c>
      <c r="V42" s="7" t="s">
        <v>183</v>
      </c>
      <c r="W42" s="7" t="s">
        <v>71</v>
      </c>
    </row>
    <row r="43" spans="1:28" x14ac:dyDescent="0.3">
      <c r="A43" s="12">
        <f t="shared" si="2"/>
        <v>8107.8457142857142</v>
      </c>
      <c r="B43" s="12">
        <v>1786.9</v>
      </c>
      <c r="C43" s="12">
        <v>1.1000000000000001</v>
      </c>
      <c r="D43" s="7">
        <v>3.7</v>
      </c>
      <c r="E43" s="12">
        <f t="shared" si="1"/>
        <v>1.1100000000000001</v>
      </c>
      <c r="F43" s="7">
        <v>1927</v>
      </c>
      <c r="G43" s="7">
        <v>8244</v>
      </c>
      <c r="H43" s="10"/>
      <c r="I43" s="8">
        <v>91</v>
      </c>
      <c r="J43" s="10"/>
      <c r="K43" s="10"/>
      <c r="L43" s="10"/>
      <c r="M43" s="8">
        <v>2</v>
      </c>
      <c r="N43" s="10"/>
      <c r="O43" s="10"/>
      <c r="P43" s="10"/>
      <c r="Q43" s="10"/>
      <c r="R43" s="10"/>
      <c r="S43" s="10"/>
      <c r="T43" s="8">
        <v>7</v>
      </c>
      <c r="U43" s="10"/>
    </row>
    <row r="44" spans="1:28" x14ac:dyDescent="0.3">
      <c r="A44" s="12">
        <f t="shared" si="2"/>
        <v>8114.937142857143</v>
      </c>
      <c r="B44" s="12">
        <v>1794.2</v>
      </c>
      <c r="C44" s="12">
        <v>1.1000000000000001</v>
      </c>
      <c r="D44" s="7">
        <v>1.6</v>
      </c>
      <c r="E44" s="12">
        <f t="shared" si="1"/>
        <v>0.48</v>
      </c>
      <c r="F44" s="7">
        <v>1954</v>
      </c>
      <c r="G44" s="7">
        <v>8271</v>
      </c>
      <c r="H44" s="8">
        <v>45</v>
      </c>
      <c r="I44" s="10"/>
      <c r="J44" s="8">
        <v>8</v>
      </c>
      <c r="K44" s="8">
        <v>4</v>
      </c>
      <c r="L44" s="8">
        <v>6</v>
      </c>
      <c r="M44" s="8">
        <v>13</v>
      </c>
      <c r="N44" s="8">
        <v>7</v>
      </c>
      <c r="O44" s="8">
        <v>3</v>
      </c>
      <c r="P44" s="10"/>
      <c r="Q44" s="10"/>
      <c r="R44" s="10"/>
      <c r="S44" s="10"/>
      <c r="T44" s="10"/>
      <c r="U44" s="8">
        <v>12</v>
      </c>
      <c r="V44" s="7" t="s">
        <v>101</v>
      </c>
    </row>
    <row r="45" spans="1:28" x14ac:dyDescent="0.3">
      <c r="A45" s="12">
        <f t="shared" si="2"/>
        <v>8149.2285714285717</v>
      </c>
      <c r="B45" s="12">
        <v>1829.5</v>
      </c>
      <c r="C45" s="12">
        <v>1.1000000000000001</v>
      </c>
      <c r="D45" s="7">
        <v>1.7</v>
      </c>
      <c r="E45" s="12">
        <f t="shared" si="1"/>
        <v>0.51</v>
      </c>
      <c r="F45" s="7">
        <v>1963</v>
      </c>
      <c r="G45" s="7">
        <v>8279</v>
      </c>
      <c r="H45" s="8">
        <v>29</v>
      </c>
      <c r="I45" s="10"/>
      <c r="J45" s="8">
        <v>23</v>
      </c>
      <c r="K45" s="8">
        <v>3</v>
      </c>
      <c r="L45" s="8">
        <v>3</v>
      </c>
      <c r="M45" s="8">
        <v>10</v>
      </c>
      <c r="N45" s="10"/>
      <c r="O45" s="8">
        <v>5</v>
      </c>
      <c r="P45" s="10"/>
      <c r="Q45" s="10"/>
      <c r="R45" s="9">
        <v>1.5</v>
      </c>
      <c r="S45" s="10"/>
      <c r="T45" s="8">
        <v>2</v>
      </c>
      <c r="U45" s="10"/>
      <c r="V45" s="7" t="s">
        <v>184</v>
      </c>
      <c r="W45" s="7" t="s">
        <v>185</v>
      </c>
      <c r="X45" s="7" t="s">
        <v>186</v>
      </c>
      <c r="Y45" s="7" t="s">
        <v>187</v>
      </c>
      <c r="Z45" s="7" t="s">
        <v>204</v>
      </c>
      <c r="AA45" s="7" t="s">
        <v>188</v>
      </c>
    </row>
    <row r="46" spans="1:28" x14ac:dyDescent="0.3">
      <c r="A46" s="12">
        <f t="shared" si="2"/>
        <v>8158.5542857142855</v>
      </c>
      <c r="B46" s="12">
        <v>1839.1</v>
      </c>
      <c r="C46" s="12">
        <v>1.1000000000000001</v>
      </c>
      <c r="D46" s="7">
        <v>1.9</v>
      </c>
      <c r="E46" s="12">
        <f t="shared" si="1"/>
        <v>0.56999999999999995</v>
      </c>
      <c r="F46" s="7">
        <v>1968</v>
      </c>
      <c r="G46" s="7">
        <v>8284</v>
      </c>
      <c r="H46" s="8">
        <v>28</v>
      </c>
      <c r="I46" s="10"/>
      <c r="J46" s="8">
        <v>7</v>
      </c>
      <c r="K46" s="10"/>
      <c r="L46" s="10"/>
      <c r="M46" s="10"/>
      <c r="N46" s="8">
        <v>26</v>
      </c>
      <c r="O46" s="10"/>
      <c r="P46" s="10"/>
      <c r="Q46" s="10"/>
      <c r="R46" s="8">
        <v>6</v>
      </c>
      <c r="S46" s="10"/>
      <c r="T46" s="10"/>
      <c r="U46" s="8">
        <v>14</v>
      </c>
      <c r="V46" s="7" t="s">
        <v>189</v>
      </c>
      <c r="W46" s="7" t="s">
        <v>163</v>
      </c>
      <c r="X46" s="7" t="s">
        <v>179</v>
      </c>
    </row>
    <row r="47" spans="1:28" x14ac:dyDescent="0.3">
      <c r="A47" s="12">
        <f t="shared" si="2"/>
        <v>8180.8971428571431</v>
      </c>
      <c r="B47" s="12">
        <v>1862.1</v>
      </c>
      <c r="C47" s="12">
        <v>1.2</v>
      </c>
      <c r="D47" s="7">
        <v>0.9</v>
      </c>
      <c r="E47" s="12">
        <f t="shared" si="1"/>
        <v>0.27</v>
      </c>
      <c r="F47" s="7">
        <v>1974</v>
      </c>
      <c r="G47" s="7">
        <v>8290</v>
      </c>
      <c r="H47" s="8">
        <v>13</v>
      </c>
      <c r="I47" s="8">
        <v>44</v>
      </c>
      <c r="J47" s="10"/>
      <c r="K47" s="10"/>
      <c r="L47" s="8">
        <v>23</v>
      </c>
      <c r="M47" s="10"/>
      <c r="N47" s="10"/>
      <c r="O47" s="9">
        <v>1</v>
      </c>
      <c r="P47" s="10"/>
      <c r="Q47" s="8">
        <v>3</v>
      </c>
      <c r="R47" s="8">
        <v>2</v>
      </c>
      <c r="S47" s="10"/>
      <c r="T47" s="10"/>
      <c r="U47" s="8">
        <v>9</v>
      </c>
      <c r="V47" s="7" t="s">
        <v>131</v>
      </c>
      <c r="W47" s="7" t="s">
        <v>190</v>
      </c>
    </row>
    <row r="48" spans="1:28" x14ac:dyDescent="0.3">
      <c r="A48" s="12">
        <f t="shared" si="2"/>
        <v>8209.2628571428577</v>
      </c>
      <c r="B48" s="12">
        <v>1891.3</v>
      </c>
      <c r="C48" s="12">
        <v>1.2</v>
      </c>
      <c r="D48" s="12">
        <v>9</v>
      </c>
      <c r="E48" s="12">
        <f t="shared" si="1"/>
        <v>2.6999999999999997</v>
      </c>
      <c r="F48" s="7">
        <v>1985</v>
      </c>
      <c r="G48" s="7">
        <v>8300</v>
      </c>
      <c r="H48" s="8">
        <v>13</v>
      </c>
      <c r="I48" s="8">
        <v>24</v>
      </c>
      <c r="J48" s="8">
        <v>8</v>
      </c>
      <c r="K48" s="8">
        <v>6</v>
      </c>
      <c r="L48" s="8">
        <v>10</v>
      </c>
      <c r="M48" s="9">
        <v>1</v>
      </c>
      <c r="N48" s="9">
        <v>1</v>
      </c>
      <c r="O48" s="10"/>
      <c r="P48" s="10"/>
      <c r="Q48" s="10"/>
      <c r="R48" s="8">
        <v>10</v>
      </c>
      <c r="S48" s="10"/>
      <c r="T48" s="8">
        <v>6</v>
      </c>
      <c r="U48" s="10"/>
      <c r="V48" s="7" t="s">
        <v>191</v>
      </c>
      <c r="W48" s="7" t="s">
        <v>192</v>
      </c>
      <c r="X48" s="7" t="s">
        <v>193</v>
      </c>
    </row>
    <row r="49" spans="1:26" x14ac:dyDescent="0.3">
      <c r="A49" s="12">
        <f t="shared" si="2"/>
        <v>8217.3257142857146</v>
      </c>
      <c r="B49" s="12">
        <v>1899.6</v>
      </c>
      <c r="C49" s="12">
        <v>1.1000000000000001</v>
      </c>
      <c r="D49" s="7">
        <v>7.1</v>
      </c>
      <c r="E49" s="12">
        <f t="shared" si="1"/>
        <v>2.13</v>
      </c>
      <c r="F49" s="7">
        <v>2006</v>
      </c>
      <c r="G49" s="7">
        <v>8321</v>
      </c>
      <c r="H49" s="8">
        <v>78</v>
      </c>
      <c r="I49" s="8">
        <v>2</v>
      </c>
      <c r="J49" s="9">
        <v>1.8</v>
      </c>
      <c r="K49" s="9">
        <v>0.9</v>
      </c>
      <c r="L49" s="9">
        <v>1.6</v>
      </c>
      <c r="M49" s="8">
        <v>3</v>
      </c>
      <c r="N49" s="9">
        <v>0.5</v>
      </c>
      <c r="O49" s="10"/>
      <c r="P49" s="10"/>
      <c r="Q49" s="8">
        <v>3</v>
      </c>
      <c r="R49" s="9">
        <v>1.2</v>
      </c>
      <c r="S49" s="10"/>
      <c r="T49" s="8" t="s">
        <v>96</v>
      </c>
      <c r="U49" s="8" t="s">
        <v>96</v>
      </c>
      <c r="V49" s="7" t="s">
        <v>115</v>
      </c>
      <c r="W49" s="7" t="s">
        <v>194</v>
      </c>
      <c r="X49" s="7" t="s">
        <v>195</v>
      </c>
      <c r="Y49" s="7" t="s">
        <v>196</v>
      </c>
      <c r="Z49" s="7" t="s">
        <v>205</v>
      </c>
    </row>
    <row r="50" spans="1:26" x14ac:dyDescent="0.3">
      <c r="A50" s="12">
        <f t="shared" si="2"/>
        <v>8243.4571428571435</v>
      </c>
      <c r="B50" s="12">
        <v>1926.5</v>
      </c>
      <c r="C50" s="12">
        <v>1.2</v>
      </c>
      <c r="D50" s="7">
        <v>2.2000000000000002</v>
      </c>
      <c r="E50" s="12">
        <f t="shared" si="1"/>
        <v>0.66</v>
      </c>
      <c r="H50" s="7">
        <f>$G45-H2</f>
        <v>8279</v>
      </c>
      <c r="I50" s="7">
        <f>$G45-I2</f>
        <v>7059.7</v>
      </c>
      <c r="J50" s="7">
        <f t="shared" ref="J50:U50" si="3">$G45-J2</f>
        <v>6515.6</v>
      </c>
      <c r="K50" s="7">
        <f t="shared" si="3"/>
        <v>5634.3</v>
      </c>
      <c r="L50" s="7">
        <f t="shared" si="3"/>
        <v>5584.3</v>
      </c>
      <c r="M50" s="7">
        <f t="shared" si="3"/>
        <v>5275.3</v>
      </c>
      <c r="N50" s="7">
        <f t="shared" si="3"/>
        <v>5115.1000000000004</v>
      </c>
      <c r="O50" s="7">
        <f t="shared" si="3"/>
        <v>4358.3</v>
      </c>
      <c r="P50" s="7">
        <f t="shared" si="3"/>
        <v>4334.8999999999996</v>
      </c>
      <c r="Q50" s="7">
        <f t="shared" si="3"/>
        <v>4300</v>
      </c>
      <c r="R50" s="7">
        <f t="shared" si="3"/>
        <v>4219.6000000000004</v>
      </c>
      <c r="S50" s="7">
        <f t="shared" si="3"/>
        <v>4165</v>
      </c>
      <c r="T50" s="7">
        <f t="shared" si="3"/>
        <v>4104.3</v>
      </c>
      <c r="U50" s="7">
        <f t="shared" si="3"/>
        <v>4098.8999999999996</v>
      </c>
      <c r="V50" s="9"/>
    </row>
    <row r="51" spans="1:26" x14ac:dyDescent="0.3">
      <c r="A51" s="12">
        <f t="shared" si="2"/>
        <v>8270.4628571428566</v>
      </c>
      <c r="B51" s="12">
        <v>1954.3</v>
      </c>
      <c r="C51" s="12">
        <v>1.2</v>
      </c>
      <c r="D51" s="12">
        <v>2</v>
      </c>
      <c r="E51" s="12">
        <f t="shared" si="1"/>
        <v>0.6</v>
      </c>
      <c r="V51" s="9"/>
    </row>
    <row r="52" spans="1:26" x14ac:dyDescent="0.3">
      <c r="A52" s="12">
        <f t="shared" si="2"/>
        <v>8278.7199999999993</v>
      </c>
      <c r="B52" s="12">
        <v>1962.8</v>
      </c>
      <c r="C52" s="12">
        <v>1.2</v>
      </c>
      <c r="D52" s="7">
        <v>1.5</v>
      </c>
      <c r="E52" s="12">
        <f t="shared" si="1"/>
        <v>0.44999999999999996</v>
      </c>
      <c r="V52" s="9"/>
    </row>
    <row r="53" spans="1:26" x14ac:dyDescent="0.3">
      <c r="A53" s="12">
        <f t="shared" si="2"/>
        <v>8283.5771428571425</v>
      </c>
      <c r="B53" s="12">
        <v>1967.8</v>
      </c>
      <c r="C53" s="12">
        <v>1.2</v>
      </c>
      <c r="D53" s="7">
        <v>1.3</v>
      </c>
      <c r="E53" s="12">
        <f t="shared" si="1"/>
        <v>0.39</v>
      </c>
      <c r="H53" s="12">
        <v>8279</v>
      </c>
      <c r="I53" s="12">
        <v>7059.7</v>
      </c>
      <c r="J53" s="12">
        <v>6515.6</v>
      </c>
      <c r="K53" s="12">
        <v>5634.3</v>
      </c>
      <c r="L53" s="12">
        <v>5584.3</v>
      </c>
      <c r="M53" s="12">
        <v>5275.3</v>
      </c>
      <c r="N53" s="12">
        <v>5115.1000000000004</v>
      </c>
      <c r="O53" s="12">
        <v>4358.3</v>
      </c>
      <c r="P53" s="12">
        <v>4334.8999999999996</v>
      </c>
      <c r="Q53" s="12">
        <v>4300</v>
      </c>
      <c r="R53" s="12">
        <v>4219.6000000000004</v>
      </c>
      <c r="S53" s="12">
        <v>4165</v>
      </c>
      <c r="T53" s="12">
        <v>4104.3</v>
      </c>
      <c r="U53" s="12">
        <v>4098.8999999999996</v>
      </c>
      <c r="V53" s="9"/>
    </row>
    <row r="54" spans="1:26" x14ac:dyDescent="0.3">
      <c r="A54" s="12">
        <f t="shared" si="2"/>
        <v>8289.4057142857146</v>
      </c>
      <c r="B54" s="12">
        <v>1973.8</v>
      </c>
      <c r="C54" s="12">
        <v>1.2</v>
      </c>
      <c r="D54" s="7">
        <v>1.6</v>
      </c>
      <c r="E54" s="12">
        <f t="shared" si="1"/>
        <v>0.48</v>
      </c>
      <c r="F54" s="7">
        <v>1963</v>
      </c>
      <c r="G54" s="7">
        <v>8279</v>
      </c>
      <c r="H54" s="7">
        <v>29</v>
      </c>
      <c r="J54" s="7">
        <v>23</v>
      </c>
      <c r="K54" s="7">
        <v>3</v>
      </c>
      <c r="L54" s="7">
        <v>3</v>
      </c>
      <c r="M54" s="7">
        <v>10</v>
      </c>
      <c r="O54" s="7">
        <v>5</v>
      </c>
      <c r="R54" s="7">
        <v>1.5</v>
      </c>
      <c r="T54" s="7">
        <v>2</v>
      </c>
      <c r="V54" s="9"/>
    </row>
    <row r="55" spans="1:26" x14ac:dyDescent="0.3">
      <c r="A55" s="12">
        <f t="shared" si="2"/>
        <v>8299.7999999999993</v>
      </c>
      <c r="B55" s="12">
        <v>1984.5</v>
      </c>
      <c r="C55" s="12">
        <v>1.2</v>
      </c>
      <c r="D55" s="7">
        <v>3.5</v>
      </c>
      <c r="E55" s="12">
        <f t="shared" si="1"/>
        <v>1.05</v>
      </c>
      <c r="V55" s="9"/>
    </row>
    <row r="56" spans="1:26" x14ac:dyDescent="0.3">
      <c r="A56" s="12">
        <f t="shared" si="2"/>
        <v>8320.6857142857152</v>
      </c>
      <c r="B56" s="12">
        <v>2006</v>
      </c>
      <c r="C56" s="12">
        <v>1.3</v>
      </c>
      <c r="D56" s="7">
        <v>4.2</v>
      </c>
      <c r="E56" s="12">
        <f t="shared" si="1"/>
        <v>1.26</v>
      </c>
      <c r="V56" s="9"/>
    </row>
    <row r="57" spans="1:26" x14ac:dyDescent="0.3">
      <c r="A57" s="12">
        <f t="shared" si="2"/>
        <v>8324.4742857142865</v>
      </c>
      <c r="B57" s="12">
        <v>2009.9</v>
      </c>
      <c r="C57" s="12">
        <v>1.3</v>
      </c>
      <c r="D57" s="7">
        <v>1.6</v>
      </c>
      <c r="E57" s="12">
        <f t="shared" si="1"/>
        <v>0.48</v>
      </c>
      <c r="V57" s="9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514C9-1382-47B0-A4F0-38F6D80D0F7A}">
  <dimension ref="A1:S35"/>
  <sheetViews>
    <sheetView workbookViewId="0">
      <selection activeCell="B1" sqref="B1"/>
    </sheetView>
  </sheetViews>
  <sheetFormatPr defaultRowHeight="11.4" x14ac:dyDescent="0.2"/>
  <cols>
    <col min="1" max="1" width="6.21875" style="22" bestFit="1" customWidth="1"/>
    <col min="2" max="2" width="9.44140625" style="22" bestFit="1" customWidth="1"/>
    <col min="3" max="3" width="7" style="22" bestFit="1" customWidth="1"/>
    <col min="4" max="4" width="6.109375" style="22" bestFit="1" customWidth="1"/>
    <col min="5" max="5" width="7" style="22" bestFit="1" customWidth="1"/>
    <col min="6" max="9" width="6.109375" style="22" bestFit="1" customWidth="1"/>
    <col min="10" max="10" width="7" style="22" bestFit="1" customWidth="1"/>
    <col min="11" max="11" width="7.21875" style="22" bestFit="1" customWidth="1"/>
    <col min="12" max="12" width="8.88671875" style="22"/>
    <col min="13" max="13" width="34" style="22" bestFit="1" customWidth="1"/>
    <col min="14" max="14" width="10.109375" style="22" bestFit="1" customWidth="1"/>
    <col min="15" max="15" width="6.109375" style="22" bestFit="1" customWidth="1"/>
    <col min="16" max="16" width="3.44140625" style="22" bestFit="1" customWidth="1"/>
    <col min="17" max="17" width="8" style="22" bestFit="1" customWidth="1"/>
    <col min="18" max="19" width="1.6640625" style="22" bestFit="1" customWidth="1"/>
    <col min="20" max="21" width="5" style="22" bestFit="1" customWidth="1"/>
    <col min="22" max="16384" width="8.88671875" style="22"/>
  </cols>
  <sheetData>
    <row r="1" spans="1:19" x14ac:dyDescent="0.2">
      <c r="B1" s="22" t="s">
        <v>274</v>
      </c>
    </row>
    <row r="2" spans="1:19" x14ac:dyDescent="0.2">
      <c r="A2" s="13" t="s">
        <v>64</v>
      </c>
      <c r="B2" s="22" t="s">
        <v>300</v>
      </c>
      <c r="C2" s="13" t="s">
        <v>207</v>
      </c>
      <c r="D2" s="13" t="s">
        <v>208</v>
      </c>
      <c r="E2" s="13" t="s">
        <v>209</v>
      </c>
      <c r="F2" s="13" t="s">
        <v>210</v>
      </c>
      <c r="G2" s="13" t="s">
        <v>211</v>
      </c>
      <c r="H2" s="13" t="s">
        <v>212</v>
      </c>
      <c r="I2" s="13" t="s">
        <v>213</v>
      </c>
      <c r="J2" s="13" t="s">
        <v>214</v>
      </c>
      <c r="K2" s="13" t="s">
        <v>215</v>
      </c>
    </row>
    <row r="3" spans="1:19" x14ac:dyDescent="0.2">
      <c r="A3" s="13">
        <v>1219.3</v>
      </c>
      <c r="B3" s="13">
        <v>0.1</v>
      </c>
      <c r="C3" s="13">
        <v>100</v>
      </c>
      <c r="D3" s="13"/>
      <c r="E3" s="13"/>
      <c r="F3" s="13"/>
      <c r="G3" s="13"/>
      <c r="H3" s="13"/>
      <c r="I3" s="13"/>
      <c r="J3" s="13"/>
      <c r="K3" s="13"/>
      <c r="M3" s="22" t="s">
        <v>275</v>
      </c>
      <c r="O3" s="22">
        <v>1219.3</v>
      </c>
      <c r="P3" s="22">
        <v>0.1</v>
      </c>
      <c r="R3" s="22">
        <f>O3-A3</f>
        <v>0</v>
      </c>
      <c r="S3" s="22">
        <f>P3-B3</f>
        <v>0</v>
      </c>
    </row>
    <row r="4" spans="1:19" x14ac:dyDescent="0.2">
      <c r="A4" s="13">
        <v>1763.4</v>
      </c>
      <c r="B4" s="13">
        <v>0.7</v>
      </c>
      <c r="C4" s="13">
        <v>100</v>
      </c>
      <c r="D4" s="13" t="s">
        <v>216</v>
      </c>
      <c r="E4" s="13"/>
      <c r="F4" s="13"/>
      <c r="G4" s="13"/>
      <c r="H4" s="13"/>
      <c r="I4" s="13"/>
      <c r="J4" s="13"/>
      <c r="K4" s="13"/>
      <c r="M4" s="22" t="s">
        <v>276</v>
      </c>
      <c r="O4" s="22">
        <v>1763.4</v>
      </c>
      <c r="P4" s="22">
        <v>0.7</v>
      </c>
      <c r="R4" s="22">
        <f t="shared" ref="R4:S35" si="0">O4-A4</f>
        <v>0</v>
      </c>
      <c r="S4" s="22">
        <f t="shared" si="0"/>
        <v>0</v>
      </c>
    </row>
    <row r="5" spans="1:19" x14ac:dyDescent="0.2">
      <c r="A5" s="13">
        <v>2644.7</v>
      </c>
      <c r="B5" s="13">
        <v>1.3</v>
      </c>
      <c r="C5" s="13" t="s">
        <v>217</v>
      </c>
      <c r="D5" s="13" t="s">
        <v>218</v>
      </c>
      <c r="E5" s="13" t="s">
        <v>219</v>
      </c>
      <c r="G5" s="13"/>
      <c r="H5" s="13"/>
      <c r="I5" s="13"/>
      <c r="J5" s="13"/>
      <c r="K5" s="13"/>
      <c r="M5" s="22" t="s">
        <v>277</v>
      </c>
      <c r="O5" s="22">
        <v>2644.7</v>
      </c>
      <c r="P5" s="22">
        <v>1.3</v>
      </c>
      <c r="R5" s="22">
        <f t="shared" si="0"/>
        <v>0</v>
      </c>
      <c r="S5" s="22">
        <f t="shared" si="0"/>
        <v>0</v>
      </c>
    </row>
    <row r="6" spans="1:19" x14ac:dyDescent="0.2">
      <c r="A6" s="13">
        <v>2694.7</v>
      </c>
      <c r="B6" s="13">
        <v>1.2</v>
      </c>
      <c r="C6" s="13" t="s">
        <v>220</v>
      </c>
      <c r="D6" s="13" t="s">
        <v>221</v>
      </c>
      <c r="E6" s="13" t="s">
        <v>222</v>
      </c>
      <c r="F6" s="13"/>
      <c r="G6" s="13"/>
      <c r="H6" s="13"/>
      <c r="I6" s="13"/>
      <c r="J6" s="13"/>
      <c r="K6" s="13"/>
      <c r="M6" s="22" t="s">
        <v>278</v>
      </c>
      <c r="O6" s="22">
        <v>2694.7</v>
      </c>
      <c r="P6" s="22">
        <v>1.2</v>
      </c>
      <c r="R6" s="22">
        <f t="shared" si="0"/>
        <v>0</v>
      </c>
      <c r="S6" s="22">
        <f t="shared" si="0"/>
        <v>0</v>
      </c>
    </row>
    <row r="7" spans="1:19" x14ac:dyDescent="0.2">
      <c r="A7" s="13">
        <v>3003.7</v>
      </c>
      <c r="B7" s="13">
        <v>0.8</v>
      </c>
      <c r="C7" s="13">
        <v>100</v>
      </c>
      <c r="D7" s="13" t="s">
        <v>96</v>
      </c>
      <c r="E7" s="13" t="s">
        <v>218</v>
      </c>
      <c r="F7" s="13"/>
      <c r="G7" s="13"/>
      <c r="H7" s="13"/>
      <c r="I7" s="13"/>
      <c r="J7" s="13"/>
      <c r="K7" s="13"/>
      <c r="M7" s="22" t="s">
        <v>279</v>
      </c>
      <c r="O7" s="22">
        <v>3003.7</v>
      </c>
      <c r="P7" s="22">
        <v>0.8</v>
      </c>
      <c r="R7" s="22">
        <f t="shared" si="0"/>
        <v>0</v>
      </c>
      <c r="S7" s="22">
        <f t="shared" si="0"/>
        <v>0</v>
      </c>
    </row>
    <row r="8" spans="1:19" x14ac:dyDescent="0.2">
      <c r="A8" s="13">
        <v>3163.9</v>
      </c>
      <c r="B8" s="13">
        <v>0.7</v>
      </c>
      <c r="C8" s="13" t="s">
        <v>223</v>
      </c>
      <c r="D8" s="13" t="s">
        <v>216</v>
      </c>
      <c r="E8" s="13" t="s">
        <v>216</v>
      </c>
      <c r="F8" s="13" t="s">
        <v>224</v>
      </c>
      <c r="G8" s="13"/>
      <c r="H8" s="13"/>
      <c r="I8" s="13" t="s">
        <v>96</v>
      </c>
      <c r="J8" s="13"/>
      <c r="K8" s="13"/>
      <c r="M8" s="22" t="s">
        <v>280</v>
      </c>
      <c r="O8" s="22">
        <v>3163.9</v>
      </c>
      <c r="P8" s="22">
        <v>0.7</v>
      </c>
      <c r="R8" s="22">
        <f t="shared" si="0"/>
        <v>0</v>
      </c>
      <c r="S8" s="22">
        <f t="shared" si="0"/>
        <v>0</v>
      </c>
    </row>
    <row r="9" spans="1:19" x14ac:dyDescent="0.2">
      <c r="A9" s="13">
        <v>3920.7</v>
      </c>
      <c r="B9" s="13">
        <v>1.3</v>
      </c>
      <c r="C9" s="13" t="s">
        <v>225</v>
      </c>
      <c r="D9" s="13"/>
      <c r="E9" s="13" t="s">
        <v>226</v>
      </c>
      <c r="F9" s="13" t="s">
        <v>96</v>
      </c>
      <c r="G9" s="13"/>
      <c r="H9" s="13"/>
      <c r="I9" s="13"/>
      <c r="J9" s="13"/>
      <c r="K9" s="13"/>
      <c r="M9" s="22" t="s">
        <v>281</v>
      </c>
      <c r="O9" s="22">
        <v>3920.7</v>
      </c>
      <c r="P9" s="22">
        <v>1.3</v>
      </c>
      <c r="R9" s="22">
        <f t="shared" si="0"/>
        <v>0</v>
      </c>
      <c r="S9" s="22">
        <f t="shared" si="0"/>
        <v>0</v>
      </c>
    </row>
    <row r="10" spans="1:19" x14ac:dyDescent="0.2">
      <c r="A10" s="13">
        <v>3944.1</v>
      </c>
      <c r="B10" s="13">
        <v>1.1000000000000001</v>
      </c>
      <c r="C10" s="13" t="s">
        <v>227</v>
      </c>
      <c r="D10" s="13" t="s">
        <v>228</v>
      </c>
      <c r="E10" s="13" t="s">
        <v>229</v>
      </c>
      <c r="F10" s="13" t="s">
        <v>230</v>
      </c>
      <c r="G10" s="13"/>
      <c r="H10" s="13"/>
      <c r="I10" s="13"/>
      <c r="J10" s="13"/>
      <c r="K10" s="13"/>
      <c r="M10" s="22" t="s">
        <v>282</v>
      </c>
      <c r="O10" s="22">
        <v>3944.1</v>
      </c>
      <c r="P10" s="22">
        <v>1.1000000000000001</v>
      </c>
      <c r="R10" s="22">
        <f t="shared" si="0"/>
        <v>0</v>
      </c>
      <c r="S10" s="22">
        <f t="shared" si="0"/>
        <v>0</v>
      </c>
    </row>
    <row r="11" spans="1:19" x14ac:dyDescent="0.2">
      <c r="A11" s="13">
        <v>3979</v>
      </c>
      <c r="B11" s="13">
        <v>1.5</v>
      </c>
      <c r="C11" s="13" t="s">
        <v>231</v>
      </c>
      <c r="D11" s="13" t="s">
        <v>232</v>
      </c>
      <c r="E11" s="13" t="s">
        <v>218</v>
      </c>
      <c r="F11" s="13" t="s">
        <v>218</v>
      </c>
      <c r="G11" s="13" t="s">
        <v>233</v>
      </c>
      <c r="H11" s="13"/>
      <c r="I11" s="13"/>
      <c r="J11" s="13"/>
      <c r="K11" s="13"/>
      <c r="M11" s="22" t="s">
        <v>283</v>
      </c>
      <c r="O11" s="22">
        <v>3979</v>
      </c>
      <c r="P11" s="22">
        <v>1.5</v>
      </c>
      <c r="R11" s="22">
        <f t="shared" si="0"/>
        <v>0</v>
      </c>
      <c r="S11" s="22">
        <f t="shared" si="0"/>
        <v>0</v>
      </c>
    </row>
    <row r="12" spans="1:19" x14ac:dyDescent="0.2">
      <c r="A12" s="13">
        <v>4059.4</v>
      </c>
      <c r="B12" s="13">
        <v>0.4</v>
      </c>
      <c r="C12" s="13" t="s">
        <v>218</v>
      </c>
      <c r="D12" s="13" t="s">
        <v>234</v>
      </c>
      <c r="E12" s="13" t="s">
        <v>235</v>
      </c>
      <c r="F12" s="13" t="s">
        <v>236</v>
      </c>
      <c r="G12" s="13" t="s">
        <v>237</v>
      </c>
      <c r="H12" s="13"/>
      <c r="I12" s="13"/>
      <c r="J12" s="13"/>
      <c r="K12" s="13"/>
      <c r="M12" s="22" t="s">
        <v>284</v>
      </c>
      <c r="O12" s="22">
        <v>4059.4</v>
      </c>
      <c r="P12" s="22">
        <v>0.4</v>
      </c>
      <c r="R12" s="22">
        <f t="shared" si="0"/>
        <v>0</v>
      </c>
      <c r="S12" s="22">
        <f t="shared" si="0"/>
        <v>0</v>
      </c>
    </row>
    <row r="13" spans="1:19" x14ac:dyDescent="0.2">
      <c r="A13" s="13">
        <v>4114</v>
      </c>
      <c r="B13" s="13">
        <v>1</v>
      </c>
      <c r="C13" s="13" t="s">
        <v>238</v>
      </c>
      <c r="D13" s="13" t="s">
        <v>227</v>
      </c>
      <c r="E13" s="13" t="s">
        <v>239</v>
      </c>
      <c r="F13" s="13"/>
      <c r="G13" s="13"/>
      <c r="H13" s="13"/>
      <c r="I13" s="13"/>
      <c r="J13" s="13"/>
      <c r="K13" s="13"/>
      <c r="M13" s="22" t="s">
        <v>285</v>
      </c>
      <c r="O13" s="22">
        <v>4114</v>
      </c>
      <c r="P13" s="22">
        <v>1</v>
      </c>
      <c r="R13" s="22">
        <f t="shared" si="0"/>
        <v>0</v>
      </c>
      <c r="S13" s="22">
        <f t="shared" si="0"/>
        <v>0</v>
      </c>
    </row>
    <row r="14" spans="1:19" x14ac:dyDescent="0.2">
      <c r="A14" s="13">
        <v>4174.7</v>
      </c>
      <c r="B14" s="13">
        <v>1</v>
      </c>
      <c r="C14" s="13" t="s">
        <v>240</v>
      </c>
      <c r="D14" s="13" t="s">
        <v>241</v>
      </c>
      <c r="E14" s="13" t="s">
        <v>231</v>
      </c>
      <c r="F14" s="13" t="s">
        <v>227</v>
      </c>
      <c r="G14" s="13" t="s">
        <v>242</v>
      </c>
      <c r="H14" s="13"/>
      <c r="I14" s="13"/>
      <c r="J14" s="13"/>
      <c r="K14" s="13"/>
      <c r="M14" s="22" t="s">
        <v>286</v>
      </c>
      <c r="O14" s="22">
        <v>4174.7</v>
      </c>
      <c r="P14" s="22">
        <v>1</v>
      </c>
      <c r="R14" s="22">
        <f t="shared" si="0"/>
        <v>0</v>
      </c>
      <c r="S14" s="22">
        <f t="shared" si="0"/>
        <v>0</v>
      </c>
    </row>
    <row r="15" spans="1:19" x14ac:dyDescent="0.2">
      <c r="A15" s="13">
        <v>4180.1000000000004</v>
      </c>
      <c r="B15" s="13">
        <v>1.5</v>
      </c>
      <c r="C15" s="13" t="s">
        <v>243</v>
      </c>
      <c r="D15" s="13" t="s">
        <v>244</v>
      </c>
      <c r="E15" s="13" t="s">
        <v>236</v>
      </c>
      <c r="F15" s="13" t="s">
        <v>245</v>
      </c>
      <c r="G15" s="13" t="s">
        <v>246</v>
      </c>
      <c r="H15" s="13" t="s">
        <v>245</v>
      </c>
      <c r="I15" s="13"/>
      <c r="J15" s="13"/>
      <c r="K15" s="13"/>
      <c r="M15" s="22" t="s">
        <v>287</v>
      </c>
      <c r="O15" s="22">
        <v>4180.1000000000004</v>
      </c>
      <c r="P15" s="22">
        <v>1.5</v>
      </c>
      <c r="R15" s="22">
        <f t="shared" si="0"/>
        <v>0</v>
      </c>
      <c r="S15" s="22">
        <f t="shared" si="0"/>
        <v>0</v>
      </c>
    </row>
    <row r="16" spans="1:19" x14ac:dyDescent="0.2">
      <c r="A16" s="13">
        <v>4347.2</v>
      </c>
      <c r="B16" s="13">
        <v>1.2</v>
      </c>
      <c r="C16" s="13" t="s">
        <v>227</v>
      </c>
      <c r="D16" s="13" t="s">
        <v>241</v>
      </c>
      <c r="E16" s="13" t="s">
        <v>247</v>
      </c>
      <c r="F16" s="13" t="s">
        <v>248</v>
      </c>
      <c r="G16" s="13" t="s">
        <v>241</v>
      </c>
      <c r="H16" s="13" t="s">
        <v>241</v>
      </c>
      <c r="I16" s="13" t="s">
        <v>249</v>
      </c>
      <c r="J16" s="13"/>
      <c r="K16" s="13"/>
      <c r="M16" s="22" t="s">
        <v>288</v>
      </c>
      <c r="O16" s="22">
        <v>4347.2</v>
      </c>
      <c r="P16" s="22">
        <v>1.2</v>
      </c>
      <c r="R16" s="22">
        <f t="shared" si="0"/>
        <v>0</v>
      </c>
      <c r="S16" s="22">
        <f t="shared" si="0"/>
        <v>0</v>
      </c>
    </row>
    <row r="17" spans="1:19" x14ac:dyDescent="0.2">
      <c r="A17" s="13">
        <v>4624.2</v>
      </c>
      <c r="B17" s="13">
        <v>2</v>
      </c>
      <c r="C17" s="13" t="s">
        <v>250</v>
      </c>
      <c r="D17" s="13"/>
      <c r="E17" s="13"/>
      <c r="F17" s="13"/>
      <c r="G17" s="13"/>
      <c r="H17" s="13"/>
      <c r="I17" s="13"/>
      <c r="J17" s="13"/>
      <c r="K17" s="13">
        <v>15</v>
      </c>
      <c r="M17" s="22" t="s">
        <v>289</v>
      </c>
      <c r="O17" s="22">
        <v>4624.2</v>
      </c>
      <c r="P17" s="22">
        <v>2</v>
      </c>
      <c r="R17" s="22">
        <f t="shared" si="0"/>
        <v>0</v>
      </c>
      <c r="S17" s="22">
        <f t="shared" si="0"/>
        <v>0</v>
      </c>
    </row>
    <row r="18" spans="1:19" x14ac:dyDescent="0.2">
      <c r="A18" s="13">
        <v>4766.8999999999996</v>
      </c>
      <c r="B18" s="13">
        <v>1.5</v>
      </c>
      <c r="C18" s="13" t="s">
        <v>227</v>
      </c>
      <c r="D18" s="13" t="s">
        <v>227</v>
      </c>
      <c r="E18" s="13"/>
      <c r="F18" s="13"/>
      <c r="G18" s="13" t="s">
        <v>227</v>
      </c>
      <c r="H18" s="13" t="s">
        <v>251</v>
      </c>
      <c r="I18" s="13" t="s">
        <v>252</v>
      </c>
      <c r="K18" s="13"/>
      <c r="M18" s="22" t="s">
        <v>290</v>
      </c>
      <c r="O18" s="22">
        <v>4766.8999999999996</v>
      </c>
      <c r="P18" s="22">
        <v>1.5</v>
      </c>
      <c r="R18" s="22">
        <f t="shared" si="0"/>
        <v>0</v>
      </c>
      <c r="S18" s="22">
        <f t="shared" si="0"/>
        <v>0</v>
      </c>
    </row>
    <row r="19" spans="1:19" x14ac:dyDescent="0.2">
      <c r="A19" s="13">
        <v>4841.7</v>
      </c>
      <c r="B19" s="13">
        <v>1.9</v>
      </c>
      <c r="C19" s="13" t="s">
        <v>253</v>
      </c>
      <c r="D19" s="13" t="s">
        <v>254</v>
      </c>
      <c r="E19" s="13" t="s">
        <v>243</v>
      </c>
      <c r="F19" s="13" t="s">
        <v>96</v>
      </c>
      <c r="G19" s="13" t="s">
        <v>241</v>
      </c>
      <c r="H19" s="13" t="s">
        <v>254</v>
      </c>
      <c r="I19" s="13"/>
      <c r="J19" s="13"/>
      <c r="K19" s="13"/>
      <c r="M19" s="22" t="s">
        <v>291</v>
      </c>
      <c r="O19" s="22">
        <v>4841.7</v>
      </c>
      <c r="P19" s="22">
        <v>1.9</v>
      </c>
      <c r="R19" s="22">
        <f t="shared" si="0"/>
        <v>0</v>
      </c>
      <c r="S19" s="22">
        <f t="shared" si="0"/>
        <v>0</v>
      </c>
    </row>
    <row r="20" spans="1:19" x14ac:dyDescent="0.2">
      <c r="A20" s="13">
        <v>4855.7</v>
      </c>
      <c r="B20" s="13">
        <v>1.9</v>
      </c>
      <c r="C20" s="13" t="s">
        <v>255</v>
      </c>
      <c r="D20" s="13" t="s">
        <v>256</v>
      </c>
      <c r="F20" s="13"/>
      <c r="G20" s="13"/>
      <c r="H20" s="13"/>
      <c r="I20" s="13"/>
      <c r="J20" s="13"/>
      <c r="K20" s="13"/>
      <c r="M20" s="22" t="s">
        <v>292</v>
      </c>
      <c r="O20" s="22">
        <v>4855.7</v>
      </c>
      <c r="P20" s="22">
        <v>1.9</v>
      </c>
      <c r="R20" s="22">
        <f t="shared" si="0"/>
        <v>0</v>
      </c>
      <c r="S20" s="22">
        <f t="shared" si="0"/>
        <v>0</v>
      </c>
    </row>
    <row r="21" spans="1:19" x14ac:dyDescent="0.2">
      <c r="A21" s="13">
        <v>4885</v>
      </c>
      <c r="B21" s="13">
        <v>2</v>
      </c>
      <c r="C21" s="13" t="s">
        <v>247</v>
      </c>
      <c r="D21" s="13" t="s">
        <v>241</v>
      </c>
      <c r="E21" s="13" t="s">
        <v>257</v>
      </c>
      <c r="F21" s="13" t="s">
        <v>258</v>
      </c>
      <c r="G21" s="13" t="s">
        <v>227</v>
      </c>
      <c r="H21" s="13" t="s">
        <v>259</v>
      </c>
      <c r="J21" s="13"/>
      <c r="K21" s="13"/>
      <c r="M21" s="22" t="s">
        <v>293</v>
      </c>
      <c r="O21" s="22">
        <v>4885</v>
      </c>
      <c r="P21" s="22">
        <v>2</v>
      </c>
      <c r="R21" s="22">
        <f t="shared" si="0"/>
        <v>0</v>
      </c>
      <c r="S21" s="22">
        <f t="shared" si="0"/>
        <v>0</v>
      </c>
    </row>
    <row r="22" spans="1:19" x14ac:dyDescent="0.2">
      <c r="A22" s="13">
        <v>5010.3999999999996</v>
      </c>
      <c r="B22" s="13">
        <v>1.8</v>
      </c>
      <c r="C22" s="13">
        <v>100</v>
      </c>
      <c r="D22" s="13" t="s">
        <v>254</v>
      </c>
      <c r="E22" s="13" t="s">
        <v>227</v>
      </c>
      <c r="F22" s="13" t="s">
        <v>247</v>
      </c>
      <c r="G22" s="13"/>
      <c r="H22" s="13"/>
      <c r="I22" s="13"/>
      <c r="J22" s="13"/>
      <c r="K22" s="13"/>
      <c r="M22" s="22" t="s">
        <v>294</v>
      </c>
      <c r="O22" s="22">
        <v>5010.3999999999996</v>
      </c>
      <c r="P22" s="22">
        <v>1.8</v>
      </c>
      <c r="R22" s="22">
        <f t="shared" si="0"/>
        <v>0</v>
      </c>
      <c r="S22" s="22">
        <f t="shared" si="0"/>
        <v>0</v>
      </c>
    </row>
    <row r="23" spans="1:19" x14ac:dyDescent="0.2">
      <c r="A23" s="13">
        <v>5166.7</v>
      </c>
      <c r="B23" s="13">
        <v>1.5</v>
      </c>
      <c r="C23" s="13" t="s">
        <v>227</v>
      </c>
      <c r="D23" s="13" t="s">
        <v>227</v>
      </c>
      <c r="E23" s="13" t="s">
        <v>260</v>
      </c>
      <c r="F23" s="13"/>
      <c r="G23" s="13"/>
      <c r="H23" s="13" t="s">
        <v>261</v>
      </c>
      <c r="I23" s="13" t="s">
        <v>262</v>
      </c>
      <c r="J23" s="13"/>
      <c r="K23" s="13">
        <v>10</v>
      </c>
      <c r="M23" s="22" t="s">
        <v>295</v>
      </c>
      <c r="O23" s="22">
        <v>5166.7</v>
      </c>
      <c r="P23" s="22">
        <v>1.5</v>
      </c>
      <c r="R23" s="22">
        <f t="shared" si="0"/>
        <v>0</v>
      </c>
      <c r="S23" s="22">
        <f t="shared" si="0"/>
        <v>0</v>
      </c>
    </row>
    <row r="24" spans="1:19" x14ac:dyDescent="0.2">
      <c r="A24" s="13">
        <v>5216.2</v>
      </c>
      <c r="B24" s="13">
        <v>1.5</v>
      </c>
      <c r="C24" s="13">
        <v>100</v>
      </c>
      <c r="D24" s="13" t="s">
        <v>241</v>
      </c>
      <c r="E24" s="13" t="s">
        <v>228</v>
      </c>
      <c r="F24" s="13"/>
      <c r="G24" s="13"/>
      <c r="H24" s="13"/>
      <c r="I24" s="13"/>
      <c r="J24" s="13"/>
      <c r="K24" s="13"/>
      <c r="M24" s="22" t="s">
        <v>296</v>
      </c>
      <c r="O24" s="22">
        <v>5216.2</v>
      </c>
      <c r="P24" s="22">
        <v>1.5</v>
      </c>
      <c r="R24" s="22">
        <f t="shared" si="0"/>
        <v>0</v>
      </c>
      <c r="S24" s="22">
        <f t="shared" si="0"/>
        <v>0</v>
      </c>
    </row>
    <row r="25" spans="1:19" x14ac:dyDescent="0.2">
      <c r="A25" s="13">
        <v>5403.6</v>
      </c>
      <c r="B25" s="13">
        <v>1</v>
      </c>
      <c r="C25" s="13" t="s">
        <v>254</v>
      </c>
      <c r="D25" s="13" t="s">
        <v>263</v>
      </c>
      <c r="E25" s="13" t="s">
        <v>227</v>
      </c>
      <c r="F25" s="13"/>
      <c r="G25" s="13"/>
      <c r="H25" s="13" t="s">
        <v>255</v>
      </c>
      <c r="I25" s="13"/>
      <c r="J25" s="13"/>
      <c r="K25" s="13">
        <v>20</v>
      </c>
      <c r="M25" s="22" t="s">
        <v>297</v>
      </c>
      <c r="O25" s="22">
        <v>5403.6</v>
      </c>
      <c r="P25" s="22">
        <v>1</v>
      </c>
      <c r="R25" s="22">
        <f>O25-A25</f>
        <v>0</v>
      </c>
      <c r="S25" s="22">
        <f>P25-B25</f>
        <v>0</v>
      </c>
    </row>
    <row r="26" spans="1:19" x14ac:dyDescent="0.2">
      <c r="A26" s="13">
        <v>5586</v>
      </c>
      <c r="B26" s="13">
        <v>2</v>
      </c>
      <c r="C26" s="13" t="s">
        <v>227</v>
      </c>
      <c r="D26" s="13" t="s">
        <v>227</v>
      </c>
      <c r="E26" s="13" t="s">
        <v>240</v>
      </c>
      <c r="F26" s="13" t="s">
        <v>264</v>
      </c>
      <c r="G26" s="13"/>
      <c r="H26" s="13"/>
      <c r="I26" s="13"/>
      <c r="J26" s="13"/>
      <c r="K26" s="13"/>
      <c r="M26" s="22" t="s">
        <v>298</v>
      </c>
      <c r="O26" s="22">
        <v>5586</v>
      </c>
      <c r="P26" s="22">
        <v>2</v>
      </c>
      <c r="R26" s="22">
        <f t="shared" si="0"/>
        <v>0</v>
      </c>
      <c r="S26" s="22">
        <f t="shared" si="0"/>
        <v>0</v>
      </c>
    </row>
    <row r="27" spans="1:19" x14ac:dyDescent="0.2">
      <c r="A27" s="13">
        <v>5600.1</v>
      </c>
      <c r="B27" s="13">
        <v>1.5</v>
      </c>
      <c r="C27" s="13" t="s">
        <v>265</v>
      </c>
      <c r="D27" s="13"/>
      <c r="E27" s="13" t="s">
        <v>266</v>
      </c>
      <c r="F27" s="13"/>
      <c r="G27" s="13"/>
      <c r="H27" s="13"/>
      <c r="I27" s="13"/>
      <c r="J27" s="13"/>
      <c r="K27" s="13"/>
      <c r="M27" s="22" t="s">
        <v>299</v>
      </c>
      <c r="O27" s="22">
        <v>5600.1</v>
      </c>
      <c r="P27" s="22">
        <v>1.5</v>
      </c>
      <c r="R27" s="22">
        <f t="shared" si="0"/>
        <v>0</v>
      </c>
      <c r="S27" s="22">
        <f t="shared" si="0"/>
        <v>0</v>
      </c>
    </row>
    <row r="28" spans="1:19" x14ac:dyDescent="0.2">
      <c r="A28" s="13">
        <v>5646</v>
      </c>
      <c r="B28" s="13">
        <v>2</v>
      </c>
      <c r="C28" s="13" t="s">
        <v>267</v>
      </c>
      <c r="E28" s="13"/>
      <c r="F28" s="13"/>
      <c r="G28" s="13"/>
      <c r="H28" s="13"/>
      <c r="I28" s="13">
        <v>100</v>
      </c>
      <c r="J28" s="13"/>
      <c r="O28" s="22">
        <v>5646</v>
      </c>
      <c r="P28" s="22">
        <v>2</v>
      </c>
      <c r="R28" s="22">
        <f t="shared" si="0"/>
        <v>0</v>
      </c>
      <c r="S28" s="22">
        <f t="shared" si="0"/>
        <v>0</v>
      </c>
    </row>
    <row r="29" spans="1:19" x14ac:dyDescent="0.2">
      <c r="A29" s="13">
        <v>5656</v>
      </c>
      <c r="B29" s="13">
        <v>2</v>
      </c>
      <c r="C29" s="13"/>
      <c r="D29" s="13" t="s">
        <v>228</v>
      </c>
      <c r="E29" s="13" t="s">
        <v>268</v>
      </c>
      <c r="F29" s="13"/>
      <c r="G29" s="13"/>
      <c r="H29" s="13" t="s">
        <v>269</v>
      </c>
      <c r="I29" s="13"/>
      <c r="J29" s="13"/>
      <c r="K29" s="13">
        <v>14</v>
      </c>
      <c r="O29" s="22">
        <v>5656</v>
      </c>
      <c r="P29" s="22">
        <v>2</v>
      </c>
      <c r="R29" s="22">
        <f t="shared" si="0"/>
        <v>0</v>
      </c>
      <c r="S29" s="22">
        <f t="shared" si="0"/>
        <v>0</v>
      </c>
    </row>
    <row r="30" spans="1:19" x14ac:dyDescent="0.2">
      <c r="A30" s="13">
        <v>5683</v>
      </c>
      <c r="B30" s="13">
        <v>2</v>
      </c>
      <c r="C30" s="13"/>
      <c r="D30" s="13"/>
      <c r="E30" s="13"/>
      <c r="F30" s="13"/>
      <c r="G30" s="13"/>
      <c r="H30" s="13"/>
      <c r="I30" s="13"/>
      <c r="J30" s="13" t="s">
        <v>240</v>
      </c>
      <c r="K30" s="13">
        <v>40</v>
      </c>
      <c r="O30" s="22">
        <v>5683</v>
      </c>
      <c r="P30" s="22">
        <v>2</v>
      </c>
      <c r="R30" s="22">
        <f t="shared" si="0"/>
        <v>0</v>
      </c>
      <c r="S30" s="22">
        <f t="shared" si="0"/>
        <v>0</v>
      </c>
    </row>
    <row r="31" spans="1:19" x14ac:dyDescent="0.2">
      <c r="A31" s="13">
        <v>5759</v>
      </c>
      <c r="B31" s="13">
        <v>3</v>
      </c>
      <c r="C31" s="13" t="s">
        <v>270</v>
      </c>
      <c r="D31" s="13" t="s">
        <v>228</v>
      </c>
      <c r="E31" s="13"/>
      <c r="F31" s="13"/>
      <c r="G31" s="13"/>
      <c r="H31" s="13"/>
      <c r="I31" s="13"/>
      <c r="J31" s="13" t="s">
        <v>271</v>
      </c>
      <c r="K31" s="13">
        <v>25</v>
      </c>
      <c r="O31" s="22">
        <v>5759</v>
      </c>
      <c r="P31" s="22">
        <v>3</v>
      </c>
      <c r="R31" s="22">
        <f t="shared" si="0"/>
        <v>0</v>
      </c>
      <c r="S31" s="22">
        <f t="shared" si="0"/>
        <v>0</v>
      </c>
    </row>
    <row r="32" spans="1:19" x14ac:dyDescent="0.2">
      <c r="A32" s="13">
        <v>5806</v>
      </c>
      <c r="B32" s="13">
        <v>2</v>
      </c>
      <c r="C32" s="13">
        <v>100</v>
      </c>
      <c r="D32" s="13"/>
      <c r="E32" s="13"/>
      <c r="F32" s="13"/>
      <c r="G32" s="13"/>
      <c r="H32" s="13"/>
      <c r="I32" s="13"/>
      <c r="J32" s="13"/>
      <c r="K32" s="13"/>
      <c r="O32" s="22">
        <v>5806</v>
      </c>
      <c r="P32" s="22">
        <v>2</v>
      </c>
      <c r="R32" s="22">
        <f t="shared" si="0"/>
        <v>0</v>
      </c>
      <c r="S32" s="22">
        <f t="shared" si="0"/>
        <v>0</v>
      </c>
    </row>
    <row r="33" spans="1:19" x14ac:dyDescent="0.2">
      <c r="A33" s="13">
        <v>6107.2</v>
      </c>
      <c r="B33" s="13">
        <v>1.5</v>
      </c>
      <c r="C33" s="13" t="s">
        <v>272</v>
      </c>
      <c r="D33" s="13" t="s">
        <v>273</v>
      </c>
      <c r="E33" s="13" t="s">
        <v>268</v>
      </c>
      <c r="F33" s="13"/>
      <c r="G33" s="13"/>
      <c r="H33" s="13"/>
      <c r="I33" s="13"/>
      <c r="J33" s="13"/>
      <c r="K33" s="13"/>
      <c r="O33" s="22">
        <v>6107.2</v>
      </c>
      <c r="P33" s="22">
        <v>1.5</v>
      </c>
      <c r="R33" s="22">
        <f t="shared" si="0"/>
        <v>0</v>
      </c>
      <c r="S33" s="22">
        <f t="shared" si="0"/>
        <v>0</v>
      </c>
    </row>
    <row r="34" spans="1:19" x14ac:dyDescent="0.2">
      <c r="A34" s="13">
        <v>6181</v>
      </c>
      <c r="B34" s="13">
        <v>3</v>
      </c>
      <c r="C34" s="13" t="s">
        <v>270</v>
      </c>
      <c r="D34" s="13"/>
      <c r="E34" s="13"/>
      <c r="F34" s="13"/>
      <c r="G34" s="13"/>
      <c r="H34" s="13"/>
      <c r="I34" s="13"/>
      <c r="J34" s="13"/>
      <c r="K34" s="13">
        <v>55</v>
      </c>
      <c r="O34" s="22">
        <v>6181</v>
      </c>
      <c r="P34" s="22">
        <v>3</v>
      </c>
      <c r="R34" s="22">
        <f t="shared" si="0"/>
        <v>0</v>
      </c>
      <c r="S34" s="22">
        <f t="shared" si="0"/>
        <v>0</v>
      </c>
    </row>
    <row r="35" spans="1:19" x14ac:dyDescent="0.2">
      <c r="A35" s="13">
        <v>6493</v>
      </c>
      <c r="B35" s="13">
        <v>3</v>
      </c>
      <c r="C35" s="13">
        <v>100</v>
      </c>
      <c r="D35" s="13"/>
      <c r="E35" s="13"/>
      <c r="F35" s="13"/>
      <c r="G35" s="13"/>
      <c r="H35" s="13"/>
      <c r="I35" s="13"/>
      <c r="J35" s="13"/>
      <c r="K35" s="13"/>
      <c r="O35" s="22">
        <v>6493</v>
      </c>
      <c r="P35" s="22">
        <v>3</v>
      </c>
      <c r="R35" s="22">
        <f t="shared" si="0"/>
        <v>0</v>
      </c>
      <c r="S35" s="22">
        <f t="shared" si="0"/>
        <v>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80486-D76D-45D1-B7EC-E214ABDEC12A}">
  <dimension ref="A1:AO49"/>
  <sheetViews>
    <sheetView workbookViewId="0">
      <selection activeCell="C9" sqref="C9"/>
    </sheetView>
  </sheetViews>
  <sheetFormatPr defaultRowHeight="11.4" x14ac:dyDescent="0.3"/>
  <cols>
    <col min="1" max="1" width="6.33203125" style="13" bestFit="1" customWidth="1"/>
    <col min="2" max="2" width="7.21875" style="13" bestFit="1" customWidth="1"/>
    <col min="3" max="3" width="4.33203125" style="13" bestFit="1" customWidth="1"/>
    <col min="4" max="4" width="6.33203125" style="13" bestFit="1" customWidth="1"/>
    <col min="5" max="5" width="7.21875" style="13" bestFit="1" customWidth="1"/>
    <col min="6" max="16384" width="8.88671875" style="13"/>
  </cols>
  <sheetData>
    <row r="1" spans="1:41" s="7" customFormat="1" x14ac:dyDescent="0.3">
      <c r="A1" s="7" t="s">
        <v>63</v>
      </c>
      <c r="B1" s="7" t="s">
        <v>65</v>
      </c>
      <c r="C1" s="7" t="s">
        <v>3</v>
      </c>
      <c r="D1" s="7" t="s">
        <v>66</v>
      </c>
      <c r="E1" s="7" t="s">
        <v>67</v>
      </c>
    </row>
    <row r="2" spans="1:41" ht="14.4" customHeight="1" x14ac:dyDescent="0.3">
      <c r="A2" s="10">
        <v>1020.5</v>
      </c>
      <c r="B2" s="10">
        <v>1.1000000000000001</v>
      </c>
      <c r="C2" s="10">
        <v>7358</v>
      </c>
      <c r="D2" s="10">
        <v>2.5</v>
      </c>
      <c r="E2" s="10"/>
      <c r="F2" s="10"/>
      <c r="G2" s="10"/>
      <c r="H2" s="10"/>
      <c r="I2" s="8"/>
      <c r="J2" s="8"/>
      <c r="K2" s="8"/>
      <c r="L2" s="8"/>
      <c r="M2" s="9"/>
      <c r="N2" s="9"/>
      <c r="O2" s="9"/>
      <c r="P2" s="9"/>
      <c r="Q2" s="9"/>
      <c r="R2" s="9"/>
      <c r="S2" s="9"/>
      <c r="T2" s="11"/>
      <c r="U2" s="11"/>
      <c r="V2" s="11"/>
      <c r="W2" s="11"/>
      <c r="X2" s="11"/>
      <c r="Y2" s="11"/>
      <c r="Z2" s="11"/>
      <c r="AA2" s="11"/>
      <c r="AB2" s="11"/>
      <c r="AC2" s="8"/>
      <c r="AD2" s="8"/>
      <c r="AE2" s="14"/>
      <c r="AF2" s="14"/>
      <c r="AG2" s="14"/>
      <c r="AH2" s="14"/>
      <c r="AI2" s="14"/>
      <c r="AJ2" s="14"/>
      <c r="AK2" s="15"/>
      <c r="AL2" s="15"/>
      <c r="AM2" s="15"/>
      <c r="AN2" s="15"/>
      <c r="AO2" s="15"/>
    </row>
    <row r="3" spans="1:41" ht="14.4" customHeight="1" x14ac:dyDescent="0.3">
      <c r="A3" s="16">
        <v>1055.8</v>
      </c>
      <c r="B3" s="16">
        <v>1.2</v>
      </c>
      <c r="C3" s="16">
        <v>7393</v>
      </c>
      <c r="D3" s="16">
        <v>0.4</v>
      </c>
      <c r="E3" s="16"/>
      <c r="F3" s="16"/>
      <c r="G3" s="16"/>
      <c r="H3" s="16"/>
      <c r="I3" s="17"/>
      <c r="J3" s="17"/>
      <c r="K3" s="17"/>
      <c r="L3" s="17"/>
      <c r="M3" s="18"/>
      <c r="N3" s="18"/>
      <c r="O3" s="18"/>
      <c r="P3" s="18"/>
      <c r="Q3" s="18"/>
      <c r="R3" s="18"/>
      <c r="S3" s="18"/>
      <c r="T3" s="16"/>
      <c r="U3" s="16"/>
      <c r="V3" s="16"/>
      <c r="W3" s="16"/>
      <c r="X3" s="16"/>
      <c r="Y3" s="16"/>
      <c r="Z3" s="16"/>
      <c r="AA3" s="16"/>
      <c r="AB3" s="16"/>
      <c r="AC3" s="17"/>
      <c r="AD3" s="17"/>
      <c r="AE3" s="19"/>
      <c r="AF3" s="19"/>
      <c r="AG3" s="19"/>
      <c r="AH3" s="19"/>
      <c r="AI3" s="19"/>
      <c r="AJ3" s="19"/>
      <c r="AK3" s="15"/>
      <c r="AL3" s="15"/>
      <c r="AM3" s="15"/>
      <c r="AN3" s="15"/>
      <c r="AO3" s="15"/>
    </row>
    <row r="4" spans="1:41" ht="14.4" customHeight="1" x14ac:dyDescent="0.3">
      <c r="A4" s="16">
        <v>1112.8</v>
      </c>
      <c r="B4" s="16">
        <v>1.3</v>
      </c>
      <c r="C4" s="16">
        <v>7448</v>
      </c>
      <c r="D4" s="16">
        <v>0.3</v>
      </c>
      <c r="E4" s="16"/>
      <c r="F4" s="16"/>
      <c r="G4" s="16"/>
      <c r="H4" s="16"/>
      <c r="I4" s="17"/>
      <c r="J4" s="17"/>
      <c r="K4" s="17"/>
      <c r="L4" s="17"/>
      <c r="M4" s="18"/>
      <c r="N4" s="18"/>
      <c r="O4" s="18"/>
      <c r="P4" s="18"/>
      <c r="Q4" s="18"/>
      <c r="R4" s="18"/>
      <c r="S4" s="18"/>
      <c r="T4" s="15"/>
      <c r="U4" s="15"/>
      <c r="V4" s="15"/>
      <c r="W4" s="15"/>
      <c r="X4" s="15"/>
      <c r="Y4" s="15"/>
      <c r="Z4" s="15"/>
      <c r="AA4" s="15"/>
      <c r="AB4" s="15"/>
      <c r="AC4" s="17"/>
      <c r="AD4" s="17"/>
      <c r="AE4" s="19"/>
      <c r="AF4" s="19"/>
      <c r="AG4" s="19"/>
      <c r="AH4" s="19"/>
      <c r="AI4" s="19"/>
      <c r="AJ4" s="19"/>
      <c r="AK4" s="15"/>
      <c r="AL4" s="15"/>
      <c r="AM4" s="15"/>
      <c r="AN4" s="15"/>
      <c r="AO4" s="15"/>
    </row>
    <row r="5" spans="1:41" ht="14.4" customHeight="1" x14ac:dyDescent="0.3">
      <c r="A5" s="16">
        <v>1163.8</v>
      </c>
      <c r="B5" s="16">
        <v>0.8</v>
      </c>
      <c r="C5" s="16">
        <v>7498</v>
      </c>
      <c r="D5" s="16">
        <v>0.1</v>
      </c>
      <c r="E5" s="16"/>
      <c r="F5" s="16"/>
      <c r="G5" s="16"/>
      <c r="H5" s="16"/>
      <c r="I5" s="17"/>
      <c r="J5" s="17"/>
      <c r="K5" s="17"/>
      <c r="L5" s="17"/>
      <c r="M5" s="18"/>
      <c r="N5" s="18"/>
      <c r="O5" s="18"/>
      <c r="P5" s="18"/>
      <c r="Q5" s="18"/>
      <c r="R5" s="18"/>
      <c r="S5" s="18"/>
      <c r="T5" s="16"/>
      <c r="U5" s="16"/>
      <c r="V5" s="16"/>
      <c r="W5" s="16"/>
      <c r="X5" s="16"/>
      <c r="Y5" s="16"/>
      <c r="Z5" s="16"/>
      <c r="AA5" s="16"/>
      <c r="AB5" s="16"/>
      <c r="AC5" s="17"/>
      <c r="AD5" s="17"/>
      <c r="AE5" s="19"/>
      <c r="AF5" s="19"/>
      <c r="AG5" s="19"/>
      <c r="AH5" s="19"/>
      <c r="AI5" s="19"/>
      <c r="AJ5" s="19"/>
      <c r="AK5" s="15"/>
      <c r="AL5" s="15"/>
      <c r="AM5" s="15"/>
      <c r="AN5" s="15"/>
      <c r="AO5" s="15"/>
    </row>
    <row r="6" spans="1:41" ht="14.4" customHeight="1" x14ac:dyDescent="0.3">
      <c r="A6" s="16">
        <v>1165.9000000000001</v>
      </c>
      <c r="B6" s="16">
        <v>0.7</v>
      </c>
      <c r="C6" s="16">
        <v>7500</v>
      </c>
      <c r="D6" s="16">
        <v>0.5</v>
      </c>
      <c r="E6" s="16"/>
      <c r="F6" s="16"/>
      <c r="G6" s="16"/>
      <c r="H6" s="16"/>
      <c r="I6" s="17"/>
      <c r="J6" s="17"/>
      <c r="K6" s="17"/>
      <c r="L6" s="17"/>
      <c r="M6" s="18"/>
      <c r="N6" s="18"/>
      <c r="O6" s="18"/>
      <c r="P6" s="18"/>
      <c r="Q6" s="18"/>
      <c r="R6" s="18"/>
      <c r="S6" s="18"/>
      <c r="T6" s="15"/>
      <c r="U6" s="15"/>
      <c r="V6" s="15"/>
      <c r="W6" s="15"/>
      <c r="X6" s="15"/>
      <c r="Y6" s="15"/>
      <c r="Z6" s="15"/>
      <c r="AA6" s="15"/>
      <c r="AB6" s="15"/>
      <c r="AC6" s="17"/>
      <c r="AD6" s="17"/>
      <c r="AE6" s="19"/>
      <c r="AF6" s="19"/>
      <c r="AG6" s="19"/>
      <c r="AH6" s="19"/>
      <c r="AI6" s="19"/>
      <c r="AJ6" s="19"/>
      <c r="AK6" s="15"/>
      <c r="AL6" s="15"/>
      <c r="AM6" s="15"/>
      <c r="AN6" s="15"/>
      <c r="AO6" s="15"/>
    </row>
    <row r="7" spans="1:41" ht="14.4" customHeight="1" x14ac:dyDescent="0.3">
      <c r="A7" s="16">
        <v>1182.2</v>
      </c>
      <c r="B7" s="16">
        <v>1.2</v>
      </c>
      <c r="C7" s="16">
        <v>7515</v>
      </c>
      <c r="D7" s="16">
        <v>0.3</v>
      </c>
      <c r="E7" s="16"/>
      <c r="F7" s="16"/>
      <c r="G7" s="16"/>
      <c r="H7" s="16"/>
      <c r="I7" s="17"/>
      <c r="J7" s="17"/>
      <c r="K7" s="17"/>
      <c r="L7" s="17"/>
      <c r="M7" s="18"/>
      <c r="N7" s="18"/>
      <c r="O7" s="18"/>
      <c r="P7" s="18"/>
      <c r="Q7" s="18"/>
      <c r="R7" s="18"/>
      <c r="S7" s="18"/>
      <c r="T7" s="16"/>
      <c r="U7" s="16"/>
      <c r="V7" s="16"/>
      <c r="W7" s="16"/>
      <c r="X7" s="16"/>
      <c r="Y7" s="16"/>
      <c r="Z7" s="16"/>
      <c r="AA7" s="16"/>
      <c r="AB7" s="16"/>
      <c r="AC7" s="17"/>
      <c r="AD7" s="17"/>
      <c r="AE7" s="19"/>
      <c r="AF7" s="19"/>
      <c r="AG7" s="19"/>
      <c r="AH7" s="19"/>
      <c r="AI7" s="19"/>
      <c r="AJ7" s="19"/>
      <c r="AK7" s="15"/>
      <c r="AL7" s="15"/>
      <c r="AM7" s="15"/>
      <c r="AN7" s="15"/>
      <c r="AO7" s="15"/>
    </row>
    <row r="8" spans="1:41" ht="14.4" customHeight="1" x14ac:dyDescent="0.3">
      <c r="A8" s="16">
        <v>1213.5999999999999</v>
      </c>
      <c r="B8" s="16">
        <v>0.6</v>
      </c>
      <c r="C8" s="16">
        <v>7546</v>
      </c>
      <c r="D8" s="16">
        <v>21</v>
      </c>
      <c r="E8" s="16">
        <v>3</v>
      </c>
      <c r="F8" s="16"/>
      <c r="G8" s="16"/>
      <c r="H8" s="16"/>
      <c r="I8" s="17"/>
      <c r="J8" s="17"/>
      <c r="K8" s="17"/>
      <c r="L8" s="17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7"/>
      <c r="AD8" s="17"/>
      <c r="AE8" s="19"/>
      <c r="AF8" s="19"/>
      <c r="AG8" s="19"/>
      <c r="AH8" s="19"/>
      <c r="AI8" s="19"/>
      <c r="AJ8" s="19"/>
      <c r="AK8" s="15"/>
      <c r="AL8" s="15"/>
      <c r="AM8" s="15"/>
      <c r="AN8" s="15"/>
      <c r="AO8" s="15"/>
    </row>
    <row r="9" spans="1:41" ht="14.4" customHeight="1" x14ac:dyDescent="0.3">
      <c r="A9" s="16">
        <v>1226.3</v>
      </c>
      <c r="B9" s="16">
        <v>0.6</v>
      </c>
      <c r="C9" s="16">
        <v>7558</v>
      </c>
      <c r="D9" s="16">
        <v>1.1000000000000001</v>
      </c>
      <c r="E9" s="16"/>
      <c r="F9" s="16"/>
      <c r="G9" s="16"/>
      <c r="H9" s="16"/>
      <c r="I9" s="17"/>
      <c r="J9" s="17"/>
      <c r="K9" s="17"/>
      <c r="L9" s="17"/>
      <c r="M9" s="18"/>
      <c r="N9" s="18"/>
      <c r="O9" s="18"/>
      <c r="P9" s="18"/>
      <c r="Q9" s="18"/>
      <c r="R9" s="18"/>
      <c r="S9" s="18"/>
      <c r="T9" s="16"/>
      <c r="U9" s="16"/>
      <c r="V9" s="16"/>
      <c r="W9" s="16"/>
      <c r="X9" s="16"/>
      <c r="Y9" s="16"/>
      <c r="Z9" s="16"/>
      <c r="AA9" s="16"/>
      <c r="AB9" s="16"/>
      <c r="AC9" s="17"/>
      <c r="AD9" s="17"/>
      <c r="AE9" s="18"/>
      <c r="AF9" s="18"/>
      <c r="AG9" s="18"/>
      <c r="AH9" s="18"/>
      <c r="AI9" s="18"/>
      <c r="AJ9" s="18"/>
      <c r="AK9" s="15"/>
      <c r="AL9" s="15"/>
      <c r="AM9" s="15"/>
      <c r="AN9" s="15"/>
      <c r="AO9" s="15"/>
    </row>
    <row r="10" spans="1:41" ht="14.4" customHeight="1" x14ac:dyDescent="0.3">
      <c r="A10" s="15">
        <v>1267.9000000000001</v>
      </c>
      <c r="B10" s="15">
        <v>1.1000000000000001</v>
      </c>
      <c r="C10" s="15">
        <v>7599</v>
      </c>
      <c r="D10" s="15">
        <v>2.9</v>
      </c>
      <c r="E10" s="15"/>
      <c r="F10" s="15"/>
      <c r="G10" s="15"/>
      <c r="H10" s="15"/>
      <c r="I10" s="17"/>
      <c r="J10" s="17"/>
      <c r="K10" s="17"/>
      <c r="L10" s="17"/>
      <c r="M10" s="18"/>
      <c r="N10" s="18"/>
      <c r="O10" s="18"/>
      <c r="P10" s="18"/>
      <c r="Q10" s="18"/>
      <c r="R10" s="18"/>
      <c r="S10" s="18"/>
      <c r="T10" s="15"/>
      <c r="U10" s="15"/>
      <c r="V10" s="15"/>
      <c r="W10" s="15"/>
      <c r="X10" s="15"/>
      <c r="Y10" s="15"/>
      <c r="Z10" s="15"/>
      <c r="AA10" s="15"/>
      <c r="AB10" s="15"/>
      <c r="AC10" s="17"/>
      <c r="AD10" s="17"/>
      <c r="AE10" s="19"/>
      <c r="AF10" s="19"/>
      <c r="AG10" s="19"/>
      <c r="AH10" s="19"/>
      <c r="AI10" s="19"/>
      <c r="AJ10" s="19"/>
      <c r="AK10" s="15"/>
      <c r="AL10" s="15"/>
      <c r="AM10" s="15"/>
      <c r="AN10" s="15"/>
      <c r="AO10" s="15"/>
    </row>
    <row r="11" spans="1:41" ht="14.4" customHeight="1" x14ac:dyDescent="0.3">
      <c r="A11" s="15">
        <v>1286.0999999999999</v>
      </c>
      <c r="B11" s="15">
        <v>1.1000000000000001</v>
      </c>
      <c r="C11" s="15">
        <v>7616</v>
      </c>
      <c r="D11" s="15">
        <v>1.1000000000000001</v>
      </c>
      <c r="E11" s="15"/>
      <c r="F11" s="15"/>
      <c r="G11" s="15"/>
      <c r="H11" s="15"/>
      <c r="I11" s="17"/>
      <c r="J11" s="17"/>
      <c r="K11" s="17"/>
      <c r="L11" s="17"/>
      <c r="M11" s="18"/>
      <c r="N11" s="18"/>
      <c r="O11" s="18"/>
      <c r="P11" s="18"/>
      <c r="Q11" s="18"/>
      <c r="R11" s="18"/>
      <c r="S11" s="18"/>
      <c r="T11" s="16"/>
      <c r="U11" s="16"/>
      <c r="V11" s="16"/>
      <c r="W11" s="16"/>
      <c r="X11" s="16"/>
      <c r="Y11" s="16"/>
      <c r="Z11" s="16"/>
      <c r="AA11" s="16"/>
      <c r="AB11" s="16"/>
      <c r="AC11" s="17"/>
      <c r="AD11" s="17"/>
      <c r="AE11" s="18"/>
      <c r="AF11" s="18"/>
      <c r="AG11" s="18"/>
      <c r="AH11" s="18"/>
      <c r="AI11" s="18"/>
      <c r="AJ11" s="18"/>
      <c r="AK11" s="15"/>
      <c r="AL11" s="15"/>
      <c r="AM11" s="15"/>
      <c r="AN11" s="15"/>
      <c r="AO11" s="15"/>
    </row>
    <row r="12" spans="1:41" ht="14.4" customHeight="1" x14ac:dyDescent="0.3">
      <c r="A12" s="16">
        <v>1323.5</v>
      </c>
      <c r="B12" s="16">
        <v>1.2</v>
      </c>
      <c r="C12" s="16">
        <v>7653</v>
      </c>
      <c r="D12" s="16">
        <v>0.5</v>
      </c>
      <c r="E12" s="16"/>
      <c r="F12" s="16"/>
      <c r="G12" s="16"/>
      <c r="H12" s="16"/>
      <c r="I12" s="17"/>
      <c r="J12" s="17"/>
      <c r="K12" s="17"/>
      <c r="L12" s="17"/>
      <c r="M12" s="18"/>
      <c r="N12" s="18"/>
      <c r="O12" s="18"/>
      <c r="P12" s="18"/>
      <c r="Q12" s="18"/>
      <c r="R12" s="18"/>
      <c r="S12" s="18"/>
      <c r="T12" s="16"/>
      <c r="U12" s="16"/>
      <c r="V12" s="16"/>
      <c r="W12" s="16"/>
      <c r="X12" s="16"/>
      <c r="Y12" s="16"/>
      <c r="Z12" s="16"/>
      <c r="AA12" s="16"/>
      <c r="AB12" s="16"/>
      <c r="AC12" s="17"/>
      <c r="AD12" s="17"/>
      <c r="AE12" s="18"/>
      <c r="AF12" s="18"/>
      <c r="AG12" s="18"/>
      <c r="AH12" s="18"/>
      <c r="AI12" s="18"/>
      <c r="AJ12" s="18"/>
      <c r="AK12" s="15"/>
      <c r="AL12" s="15"/>
      <c r="AM12" s="15"/>
      <c r="AN12" s="15"/>
      <c r="AO12" s="15"/>
    </row>
    <row r="13" spans="1:41" ht="14.4" customHeight="1" x14ac:dyDescent="0.3">
      <c r="A13" s="16">
        <v>1339.4</v>
      </c>
      <c r="B13" s="16">
        <v>1.1000000000000001</v>
      </c>
      <c r="C13" s="16">
        <v>7668</v>
      </c>
      <c r="D13" s="16">
        <v>1.4</v>
      </c>
      <c r="E13" s="16"/>
      <c r="F13" s="16"/>
      <c r="G13" s="16"/>
      <c r="H13" s="16"/>
      <c r="I13" s="17"/>
      <c r="J13" s="17"/>
      <c r="K13" s="17"/>
      <c r="L13" s="17"/>
      <c r="M13" s="18"/>
      <c r="N13" s="18"/>
      <c r="O13" s="18"/>
      <c r="P13" s="18"/>
      <c r="Q13" s="18"/>
      <c r="R13" s="18"/>
      <c r="S13" s="18"/>
      <c r="T13" s="16"/>
      <c r="U13" s="16"/>
      <c r="V13" s="16"/>
      <c r="W13" s="16"/>
      <c r="X13" s="16"/>
      <c r="Y13" s="16"/>
      <c r="Z13" s="16"/>
      <c r="AA13" s="16"/>
      <c r="AB13" s="16"/>
      <c r="AC13" s="17"/>
      <c r="AD13" s="17"/>
      <c r="AE13" s="19"/>
      <c r="AF13" s="19"/>
      <c r="AG13" s="19"/>
      <c r="AH13" s="19"/>
      <c r="AI13" s="19"/>
      <c r="AJ13" s="19"/>
      <c r="AK13" s="15"/>
      <c r="AL13" s="15"/>
      <c r="AM13" s="15"/>
      <c r="AN13" s="15"/>
      <c r="AO13" s="15"/>
    </row>
    <row r="14" spans="1:41" ht="14.4" customHeight="1" x14ac:dyDescent="0.3">
      <c r="A14" s="15">
        <v>1353.4</v>
      </c>
      <c r="B14" s="15">
        <v>1.1000000000000001</v>
      </c>
      <c r="C14" s="15">
        <v>7682</v>
      </c>
      <c r="D14" s="15">
        <v>2.4</v>
      </c>
      <c r="E14" s="15"/>
      <c r="F14" s="15"/>
      <c r="G14" s="15"/>
      <c r="H14" s="15"/>
      <c r="I14" s="17"/>
      <c r="J14" s="17"/>
      <c r="K14" s="17"/>
      <c r="L14" s="17"/>
      <c r="M14" s="18"/>
      <c r="N14" s="18"/>
      <c r="O14" s="18"/>
      <c r="P14" s="18"/>
      <c r="Q14" s="18"/>
      <c r="R14" s="18"/>
      <c r="S14" s="18"/>
      <c r="T14" s="16"/>
      <c r="U14" s="16"/>
      <c r="V14" s="16"/>
      <c r="W14" s="16"/>
      <c r="X14" s="16"/>
      <c r="Y14" s="16"/>
      <c r="Z14" s="16"/>
      <c r="AA14" s="16"/>
      <c r="AB14" s="16"/>
      <c r="AC14" s="17"/>
      <c r="AD14" s="17"/>
      <c r="AE14" s="18"/>
      <c r="AF14" s="18"/>
      <c r="AG14" s="18"/>
      <c r="AH14" s="18"/>
      <c r="AI14" s="18"/>
      <c r="AJ14" s="18"/>
      <c r="AK14" s="15"/>
      <c r="AL14" s="15"/>
      <c r="AM14" s="15"/>
      <c r="AN14" s="15"/>
      <c r="AO14" s="15"/>
    </row>
    <row r="15" spans="1:41" ht="14.4" customHeight="1" x14ac:dyDescent="0.3">
      <c r="A15" s="16">
        <v>1375</v>
      </c>
      <c r="B15" s="16">
        <v>1.1000000000000001</v>
      </c>
      <c r="C15" s="16">
        <v>7703</v>
      </c>
      <c r="D15" s="16">
        <v>3.1</v>
      </c>
      <c r="E15" s="16"/>
      <c r="F15" s="16"/>
      <c r="G15" s="16"/>
      <c r="H15" s="16"/>
      <c r="I15" s="17"/>
      <c r="J15" s="17"/>
      <c r="K15" s="17"/>
      <c r="L15" s="17"/>
      <c r="M15" s="18"/>
      <c r="N15" s="18"/>
      <c r="O15" s="18"/>
      <c r="P15" s="18"/>
      <c r="Q15" s="18"/>
      <c r="R15" s="18"/>
      <c r="S15" s="18"/>
      <c r="T15" s="16"/>
      <c r="U15" s="16"/>
      <c r="V15" s="16"/>
      <c r="W15" s="16"/>
      <c r="X15" s="16"/>
      <c r="Y15" s="16"/>
      <c r="Z15" s="16"/>
      <c r="AA15" s="16"/>
      <c r="AB15" s="16"/>
      <c r="AC15" s="17"/>
      <c r="AD15" s="17"/>
      <c r="AE15" s="18"/>
      <c r="AF15" s="18"/>
      <c r="AG15" s="18"/>
      <c r="AH15" s="18"/>
      <c r="AI15" s="18"/>
      <c r="AJ15" s="18"/>
      <c r="AK15" s="15"/>
      <c r="AL15" s="15"/>
      <c r="AM15" s="15"/>
      <c r="AN15" s="15"/>
      <c r="AO15" s="15"/>
    </row>
    <row r="16" spans="1:41" ht="14.4" customHeight="1" x14ac:dyDescent="0.3">
      <c r="A16" s="16">
        <v>1414.2</v>
      </c>
      <c r="B16" s="16">
        <v>1.2</v>
      </c>
      <c r="C16" s="16">
        <v>7741</v>
      </c>
      <c r="D16" s="16">
        <v>1.2</v>
      </c>
      <c r="E16" s="16"/>
      <c r="F16" s="16"/>
      <c r="G16" s="16"/>
      <c r="H16" s="16"/>
      <c r="I16" s="17"/>
      <c r="J16" s="17"/>
      <c r="K16" s="17"/>
      <c r="L16" s="17"/>
      <c r="M16" s="18"/>
      <c r="N16" s="18"/>
      <c r="O16" s="18"/>
      <c r="P16" s="18"/>
      <c r="Q16" s="18"/>
      <c r="R16" s="18"/>
      <c r="S16" s="18"/>
      <c r="T16" s="15"/>
      <c r="U16" s="15"/>
      <c r="V16" s="15"/>
      <c r="W16" s="15"/>
      <c r="X16" s="15"/>
      <c r="Y16" s="15"/>
      <c r="Z16" s="15"/>
      <c r="AA16" s="15"/>
      <c r="AB16" s="15"/>
      <c r="AC16" s="17"/>
      <c r="AD16" s="17"/>
      <c r="AE16" s="19"/>
      <c r="AF16" s="19"/>
      <c r="AG16" s="19"/>
      <c r="AH16" s="19"/>
      <c r="AI16" s="19"/>
      <c r="AJ16" s="19"/>
      <c r="AK16" s="15"/>
      <c r="AL16" s="15"/>
      <c r="AM16" s="15"/>
      <c r="AN16" s="15"/>
      <c r="AO16" s="15"/>
    </row>
    <row r="17" spans="1:41" ht="14.4" customHeight="1" x14ac:dyDescent="0.3">
      <c r="A17" s="16">
        <v>1447.5</v>
      </c>
      <c r="B17" s="16">
        <v>1.2</v>
      </c>
      <c r="C17" s="16">
        <v>7773</v>
      </c>
      <c r="D17" s="16">
        <v>1.4</v>
      </c>
      <c r="E17" s="16"/>
      <c r="F17" s="16"/>
      <c r="G17" s="16"/>
      <c r="H17" s="16"/>
      <c r="I17" s="17"/>
      <c r="J17" s="17"/>
      <c r="K17" s="17"/>
      <c r="L17" s="17"/>
      <c r="M17" s="19"/>
      <c r="N17" s="19"/>
      <c r="O17" s="19"/>
      <c r="P17" s="19"/>
      <c r="Q17" s="19"/>
      <c r="R17" s="19"/>
      <c r="S17" s="19"/>
      <c r="T17" s="16"/>
      <c r="U17" s="16"/>
      <c r="V17" s="16"/>
      <c r="W17" s="16"/>
      <c r="X17" s="16"/>
      <c r="Y17" s="16"/>
      <c r="Z17" s="16"/>
      <c r="AA17" s="16"/>
      <c r="AB17" s="16"/>
      <c r="AC17" s="17"/>
      <c r="AD17" s="17"/>
      <c r="AE17" s="18"/>
      <c r="AF17" s="18"/>
      <c r="AG17" s="18"/>
      <c r="AH17" s="18"/>
      <c r="AI17" s="18"/>
      <c r="AJ17" s="18"/>
      <c r="AK17" s="15"/>
      <c r="AL17" s="15"/>
      <c r="AM17" s="15"/>
      <c r="AN17" s="15"/>
      <c r="AO17" s="15"/>
    </row>
    <row r="18" spans="1:41" ht="14.4" customHeight="1" x14ac:dyDescent="0.3">
      <c r="A18" s="16">
        <v>1451.8</v>
      </c>
      <c r="B18" s="16">
        <v>1.5</v>
      </c>
      <c r="C18" s="16">
        <v>7777</v>
      </c>
      <c r="D18" s="16">
        <v>0.9</v>
      </c>
      <c r="E18" s="16"/>
      <c r="F18" s="16"/>
      <c r="G18" s="16"/>
      <c r="H18" s="16"/>
      <c r="I18" s="17"/>
      <c r="J18" s="17"/>
      <c r="K18" s="17"/>
      <c r="L18" s="17"/>
      <c r="M18" s="19"/>
      <c r="N18" s="19"/>
      <c r="O18" s="19"/>
      <c r="P18" s="19"/>
      <c r="Q18" s="19"/>
      <c r="R18" s="19"/>
      <c r="S18" s="19"/>
      <c r="T18" s="16"/>
      <c r="U18" s="16"/>
      <c r="V18" s="16"/>
      <c r="W18" s="16"/>
      <c r="X18" s="16"/>
      <c r="Y18" s="16"/>
      <c r="Z18" s="16"/>
      <c r="AA18" s="16"/>
      <c r="AB18" s="16"/>
      <c r="AC18" s="17"/>
      <c r="AD18" s="17"/>
      <c r="AE18" s="18"/>
      <c r="AF18" s="18"/>
      <c r="AG18" s="18"/>
      <c r="AH18" s="18"/>
      <c r="AI18" s="18"/>
      <c r="AJ18" s="18"/>
      <c r="AK18" s="15"/>
      <c r="AL18" s="15"/>
      <c r="AM18" s="15"/>
      <c r="AN18" s="15"/>
      <c r="AO18" s="15"/>
    </row>
    <row r="19" spans="1:41" ht="14.4" customHeight="1" x14ac:dyDescent="0.3">
      <c r="A19" s="16">
        <v>1468.2</v>
      </c>
      <c r="B19" s="16">
        <v>1.2</v>
      </c>
      <c r="C19" s="16">
        <v>7793</v>
      </c>
      <c r="D19" s="16">
        <v>1.6</v>
      </c>
      <c r="E19" s="16"/>
      <c r="F19" s="16"/>
      <c r="G19" s="16"/>
      <c r="H19" s="16"/>
      <c r="I19" s="17"/>
      <c r="J19" s="17"/>
      <c r="K19" s="17"/>
      <c r="L19" s="17"/>
      <c r="M19" s="18"/>
      <c r="N19" s="18"/>
      <c r="O19" s="18"/>
      <c r="P19" s="18"/>
      <c r="Q19" s="18"/>
      <c r="R19" s="18"/>
      <c r="S19" s="18"/>
      <c r="T19" s="16"/>
      <c r="U19" s="16"/>
      <c r="V19" s="16"/>
      <c r="W19" s="16"/>
      <c r="X19" s="16"/>
      <c r="Y19" s="16"/>
      <c r="Z19" s="16"/>
      <c r="AA19" s="16"/>
      <c r="AB19" s="16"/>
      <c r="AC19" s="17"/>
      <c r="AD19" s="17"/>
      <c r="AE19" s="18"/>
      <c r="AF19" s="18"/>
      <c r="AG19" s="18"/>
      <c r="AH19" s="18"/>
      <c r="AI19" s="18"/>
      <c r="AJ19" s="18"/>
      <c r="AK19" s="15"/>
      <c r="AL19" s="15"/>
      <c r="AM19" s="15"/>
      <c r="AN19" s="15"/>
      <c r="AO19" s="15"/>
    </row>
    <row r="20" spans="1:41" x14ac:dyDescent="0.3">
      <c r="A20" s="16">
        <v>1509.1</v>
      </c>
      <c r="B20" s="16">
        <v>1.5</v>
      </c>
      <c r="C20" s="16">
        <v>7833</v>
      </c>
      <c r="D20" s="16">
        <v>1.3</v>
      </c>
      <c r="E20" s="16"/>
      <c r="F20" s="16"/>
      <c r="G20" s="16"/>
      <c r="H20" s="16"/>
      <c r="I20" s="17"/>
      <c r="J20" s="17"/>
      <c r="K20" s="17"/>
      <c r="L20" s="17"/>
      <c r="M20" s="18"/>
      <c r="N20" s="18"/>
      <c r="O20" s="18"/>
      <c r="P20" s="18"/>
      <c r="Q20" s="18"/>
      <c r="R20" s="18"/>
      <c r="S20" s="18"/>
      <c r="T20" s="17"/>
      <c r="U20" s="17"/>
      <c r="V20" s="17"/>
      <c r="W20" s="17"/>
      <c r="X20" s="16"/>
      <c r="Y20" s="16"/>
      <c r="Z20" s="16"/>
      <c r="AA20" s="16"/>
      <c r="AB20" s="16"/>
      <c r="AC20" s="17"/>
      <c r="AD20" s="17"/>
      <c r="AE20" s="19"/>
      <c r="AF20" s="19"/>
      <c r="AG20" s="19"/>
      <c r="AH20" s="19"/>
      <c r="AI20" s="19"/>
      <c r="AJ20" s="19"/>
      <c r="AK20" s="15"/>
      <c r="AL20" s="15"/>
      <c r="AM20" s="15"/>
      <c r="AN20" s="15"/>
      <c r="AO20" s="15"/>
    </row>
    <row r="21" spans="1:41" x14ac:dyDescent="0.3">
      <c r="A21" s="16">
        <v>1512.3</v>
      </c>
      <c r="B21" s="16">
        <v>1.5</v>
      </c>
      <c r="C21" s="16">
        <v>7836</v>
      </c>
      <c r="D21" s="16">
        <v>8.6999999999999993</v>
      </c>
      <c r="E21" s="16"/>
      <c r="F21" s="16"/>
      <c r="G21" s="16"/>
      <c r="H21" s="16"/>
      <c r="I21" s="17"/>
      <c r="J21" s="17"/>
      <c r="K21" s="17"/>
      <c r="L21" s="17"/>
      <c r="M21" s="18"/>
      <c r="N21" s="18"/>
      <c r="O21" s="18"/>
      <c r="P21" s="18"/>
      <c r="Q21" s="18"/>
      <c r="R21" s="18"/>
      <c r="S21" s="18"/>
      <c r="T21" s="17"/>
      <c r="U21" s="17"/>
      <c r="V21" s="17"/>
      <c r="W21" s="17"/>
      <c r="X21" s="16"/>
      <c r="Y21" s="16"/>
      <c r="Z21" s="16"/>
      <c r="AA21" s="16"/>
      <c r="AB21" s="16"/>
      <c r="AC21" s="17"/>
      <c r="AD21" s="17"/>
      <c r="AE21" s="19"/>
      <c r="AF21" s="19"/>
      <c r="AG21" s="19"/>
      <c r="AH21" s="19"/>
      <c r="AI21" s="19"/>
      <c r="AJ21" s="19"/>
      <c r="AK21" s="15"/>
      <c r="AL21" s="15"/>
      <c r="AM21" s="15"/>
      <c r="AN21" s="15"/>
      <c r="AO21" s="15"/>
    </row>
    <row r="22" spans="1:41" x14ac:dyDescent="0.3">
      <c r="A22" s="16">
        <v>1542.3</v>
      </c>
      <c r="B22" s="16">
        <v>1.2</v>
      </c>
      <c r="C22" s="16">
        <v>7865</v>
      </c>
      <c r="D22" s="16">
        <v>0.5</v>
      </c>
      <c r="E22" s="16"/>
      <c r="F22" s="16"/>
      <c r="G22" s="16"/>
      <c r="H22" s="16"/>
      <c r="I22" s="17"/>
      <c r="J22" s="17"/>
      <c r="K22" s="17"/>
      <c r="L22" s="17"/>
      <c r="M22" s="19"/>
      <c r="N22" s="19"/>
      <c r="O22" s="19"/>
      <c r="P22" s="19"/>
      <c r="Q22" s="19"/>
      <c r="R22" s="19"/>
      <c r="S22" s="19"/>
      <c r="T22" s="17"/>
      <c r="U22" s="17"/>
      <c r="V22" s="17"/>
      <c r="W22" s="17"/>
      <c r="X22" s="16"/>
      <c r="Y22" s="16"/>
      <c r="Z22" s="16"/>
      <c r="AA22" s="16"/>
      <c r="AB22" s="16"/>
      <c r="AC22" s="17"/>
      <c r="AD22" s="17"/>
      <c r="AE22" s="19"/>
      <c r="AF22" s="19"/>
      <c r="AG22" s="19"/>
      <c r="AH22" s="19"/>
      <c r="AI22" s="19"/>
      <c r="AJ22" s="19"/>
      <c r="AK22" s="15"/>
      <c r="AL22" s="15"/>
      <c r="AM22" s="15"/>
      <c r="AN22" s="15"/>
      <c r="AO22" s="15"/>
    </row>
    <row r="23" spans="1:41" x14ac:dyDescent="0.3">
      <c r="A23" s="16">
        <v>1554.8</v>
      </c>
      <c r="B23" s="16">
        <v>1.1000000000000001</v>
      </c>
      <c r="C23" s="16">
        <v>7877</v>
      </c>
      <c r="D23" s="16">
        <v>1.3</v>
      </c>
      <c r="E23" s="16"/>
      <c r="F23" s="16"/>
      <c r="G23" s="16"/>
      <c r="H23" s="16"/>
      <c r="I23" s="17"/>
      <c r="J23" s="17"/>
      <c r="K23" s="17"/>
      <c r="L23" s="17"/>
      <c r="M23" s="18"/>
      <c r="N23" s="18"/>
      <c r="O23" s="18"/>
      <c r="P23" s="18"/>
      <c r="Q23" s="18"/>
      <c r="R23" s="18"/>
      <c r="S23" s="18"/>
      <c r="T23" s="17"/>
      <c r="U23" s="17"/>
      <c r="V23" s="17"/>
      <c r="W23" s="17"/>
      <c r="X23" s="16"/>
      <c r="Y23" s="16"/>
      <c r="Z23" s="16"/>
      <c r="AA23" s="16"/>
      <c r="AB23" s="16"/>
      <c r="AC23" s="17"/>
      <c r="AD23" s="17"/>
      <c r="AE23" s="19"/>
      <c r="AF23" s="19"/>
      <c r="AG23" s="19"/>
      <c r="AH23" s="19"/>
      <c r="AI23" s="19"/>
      <c r="AJ23" s="19"/>
      <c r="AK23" s="15"/>
      <c r="AL23" s="15"/>
      <c r="AM23" s="15"/>
      <c r="AN23" s="15"/>
      <c r="AO23" s="15"/>
    </row>
    <row r="24" spans="1:41" x14ac:dyDescent="0.3">
      <c r="A24" s="16">
        <v>1563.3</v>
      </c>
      <c r="B24" s="16">
        <v>1.5</v>
      </c>
      <c r="C24" s="16">
        <v>7886</v>
      </c>
      <c r="D24" s="16">
        <v>0.1</v>
      </c>
      <c r="E24" s="16"/>
      <c r="F24" s="16"/>
      <c r="G24" s="16"/>
      <c r="H24" s="16"/>
      <c r="I24" s="17"/>
      <c r="J24" s="17"/>
      <c r="K24" s="17"/>
      <c r="L24" s="17"/>
      <c r="M24" s="19"/>
      <c r="N24" s="19"/>
      <c r="O24" s="19"/>
      <c r="P24" s="19"/>
      <c r="Q24" s="19"/>
      <c r="R24" s="19"/>
      <c r="S24" s="19"/>
      <c r="T24" s="17"/>
      <c r="U24" s="17"/>
      <c r="V24" s="17"/>
      <c r="W24" s="17"/>
      <c r="X24" s="16"/>
      <c r="Y24" s="16"/>
      <c r="Z24" s="16"/>
      <c r="AA24" s="16"/>
      <c r="AB24" s="16"/>
      <c r="AC24" s="17"/>
      <c r="AD24" s="17"/>
      <c r="AE24" s="19"/>
      <c r="AF24" s="19"/>
      <c r="AG24" s="19"/>
      <c r="AH24" s="19"/>
      <c r="AI24" s="19"/>
      <c r="AJ24" s="19"/>
      <c r="AK24" s="15"/>
      <c r="AL24" s="15"/>
      <c r="AM24" s="15"/>
      <c r="AN24" s="15"/>
      <c r="AO24" s="15"/>
    </row>
    <row r="25" spans="1:41" ht="14.4" customHeight="1" x14ac:dyDescent="0.3">
      <c r="A25" s="15">
        <v>1573.2</v>
      </c>
      <c r="B25" s="15">
        <v>1.1000000000000001</v>
      </c>
      <c r="C25" s="15">
        <v>7895</v>
      </c>
      <c r="D25" s="20">
        <v>1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</row>
    <row r="26" spans="1:41" x14ac:dyDescent="0.3">
      <c r="A26" s="13">
        <v>1598.7</v>
      </c>
      <c r="B26" s="13">
        <v>1.2</v>
      </c>
      <c r="C26" s="13">
        <v>7920</v>
      </c>
      <c r="D26" s="13">
        <v>0.7</v>
      </c>
    </row>
    <row r="27" spans="1:41" x14ac:dyDescent="0.3">
      <c r="A27" s="13">
        <v>1645.9</v>
      </c>
      <c r="B27" s="13">
        <v>1.3</v>
      </c>
      <c r="C27" s="13">
        <v>7966</v>
      </c>
      <c r="D27" s="21">
        <v>1</v>
      </c>
    </row>
    <row r="28" spans="1:41" x14ac:dyDescent="0.3">
      <c r="A28" s="13">
        <v>1663.3</v>
      </c>
      <c r="B28" s="13">
        <v>1.2</v>
      </c>
      <c r="C28" s="13">
        <v>7983</v>
      </c>
      <c r="D28" s="13">
        <v>1.3</v>
      </c>
    </row>
    <row r="29" spans="1:41" x14ac:dyDescent="0.3">
      <c r="A29" s="13">
        <v>1672.4</v>
      </c>
      <c r="B29" s="13">
        <v>1.3</v>
      </c>
      <c r="C29" s="13">
        <v>7992</v>
      </c>
      <c r="D29" s="13">
        <v>2.2999999999999998</v>
      </c>
    </row>
    <row r="30" spans="1:41" x14ac:dyDescent="0.3">
      <c r="A30" s="13">
        <v>1678.2</v>
      </c>
      <c r="B30" s="13">
        <v>1.3</v>
      </c>
      <c r="C30" s="13">
        <v>7997</v>
      </c>
      <c r="D30" s="13">
        <v>2.6</v>
      </c>
    </row>
    <row r="31" spans="1:41" x14ac:dyDescent="0.3">
      <c r="A31" s="13">
        <v>1681.9</v>
      </c>
      <c r="B31" s="13">
        <v>1.1000000000000001</v>
      </c>
      <c r="C31" s="13">
        <v>8001</v>
      </c>
      <c r="D31" s="13">
        <v>3.4</v>
      </c>
    </row>
    <row r="32" spans="1:41" x14ac:dyDescent="0.3">
      <c r="A32" s="13">
        <v>1713.5</v>
      </c>
      <c r="B32" s="13">
        <v>1.4</v>
      </c>
      <c r="C32" s="13">
        <v>8032</v>
      </c>
      <c r="D32" s="13">
        <v>0.9</v>
      </c>
    </row>
    <row r="33" spans="1:4" x14ac:dyDescent="0.3">
      <c r="A33" s="13">
        <v>1716.3</v>
      </c>
      <c r="B33" s="13">
        <v>1.1000000000000001</v>
      </c>
      <c r="C33" s="13">
        <v>8034</v>
      </c>
      <c r="D33" s="21">
        <v>3</v>
      </c>
    </row>
    <row r="34" spans="1:4" x14ac:dyDescent="0.3">
      <c r="A34" s="13">
        <v>1755.4</v>
      </c>
      <c r="B34" s="13">
        <v>1.1000000000000001</v>
      </c>
      <c r="C34" s="13">
        <v>8072</v>
      </c>
      <c r="D34" s="13">
        <v>1.3</v>
      </c>
    </row>
    <row r="35" spans="1:4" x14ac:dyDescent="0.3">
      <c r="A35" s="13">
        <v>1776.9</v>
      </c>
      <c r="B35" s="13">
        <v>1.1000000000000001</v>
      </c>
      <c r="C35" s="13">
        <v>8093</v>
      </c>
      <c r="D35" s="13">
        <v>2.5</v>
      </c>
    </row>
    <row r="36" spans="1:4" x14ac:dyDescent="0.3">
      <c r="A36" s="13">
        <v>1786.6</v>
      </c>
      <c r="B36" s="13">
        <v>1.1000000000000001</v>
      </c>
      <c r="C36" s="13">
        <v>8103</v>
      </c>
      <c r="D36" s="13">
        <v>3.6</v>
      </c>
    </row>
    <row r="37" spans="1:4" x14ac:dyDescent="0.3">
      <c r="A37" s="13">
        <v>1793.3</v>
      </c>
      <c r="B37" s="13">
        <v>1.4</v>
      </c>
      <c r="C37" s="13">
        <v>8109</v>
      </c>
      <c r="D37" s="13">
        <v>1.1000000000000001</v>
      </c>
    </row>
    <row r="38" spans="1:4" x14ac:dyDescent="0.3">
      <c r="A38" s="13">
        <v>1828.6</v>
      </c>
      <c r="B38" s="13">
        <v>1.2</v>
      </c>
      <c r="C38" s="13">
        <v>8143</v>
      </c>
      <c r="D38" s="13">
        <v>1.5</v>
      </c>
    </row>
    <row r="39" spans="1:4" x14ac:dyDescent="0.3">
      <c r="A39" s="13">
        <v>1838.8</v>
      </c>
      <c r="B39" s="13">
        <v>1.2</v>
      </c>
      <c r="C39" s="13">
        <v>8153</v>
      </c>
      <c r="D39" s="13">
        <v>2.1</v>
      </c>
    </row>
    <row r="40" spans="1:4" x14ac:dyDescent="0.3">
      <c r="A40" s="13">
        <v>1862.1</v>
      </c>
      <c r="B40" s="13">
        <v>1.3</v>
      </c>
      <c r="C40" s="13">
        <v>8176</v>
      </c>
      <c r="D40" s="13">
        <v>0.7</v>
      </c>
    </row>
    <row r="41" spans="1:4" x14ac:dyDescent="0.3">
      <c r="A41" s="13">
        <v>1892</v>
      </c>
      <c r="B41" s="13">
        <v>1.1000000000000001</v>
      </c>
      <c r="C41" s="13">
        <v>8205</v>
      </c>
      <c r="D41" s="21">
        <v>6</v>
      </c>
    </row>
    <row r="42" spans="1:4" x14ac:dyDescent="0.3">
      <c r="A42" s="13">
        <v>1899.7</v>
      </c>
      <c r="B42" s="13">
        <v>1.2</v>
      </c>
      <c r="C42" s="13">
        <v>8212</v>
      </c>
      <c r="D42" s="13">
        <v>4.7</v>
      </c>
    </row>
    <row r="43" spans="1:4" x14ac:dyDescent="0.3">
      <c r="A43" s="13">
        <v>1926.8</v>
      </c>
      <c r="B43" s="13">
        <v>1.3</v>
      </c>
      <c r="C43" s="13">
        <v>8239</v>
      </c>
      <c r="D43" s="13">
        <v>1.9</v>
      </c>
    </row>
    <row r="44" spans="1:4" x14ac:dyDescent="0.3">
      <c r="A44" s="13">
        <v>1952</v>
      </c>
      <c r="B44" s="13">
        <v>2</v>
      </c>
      <c r="C44" s="13">
        <v>8263</v>
      </c>
      <c r="D44" s="13">
        <v>1.9</v>
      </c>
    </row>
    <row r="45" spans="1:4" x14ac:dyDescent="0.3">
      <c r="A45" s="13">
        <v>1962</v>
      </c>
      <c r="B45" s="13">
        <v>2</v>
      </c>
      <c r="C45" s="13">
        <v>8273</v>
      </c>
      <c r="D45" s="13">
        <v>1.7</v>
      </c>
    </row>
    <row r="46" spans="1:4" x14ac:dyDescent="0.3">
      <c r="A46" s="13">
        <v>1971</v>
      </c>
      <c r="B46" s="13">
        <v>2</v>
      </c>
      <c r="C46" s="13">
        <v>8281</v>
      </c>
      <c r="D46" s="13">
        <v>2.4</v>
      </c>
    </row>
    <row r="47" spans="1:4" x14ac:dyDescent="0.3">
      <c r="A47" s="13">
        <v>1980</v>
      </c>
      <c r="B47" s="13">
        <v>2</v>
      </c>
      <c r="C47" s="13">
        <v>8290</v>
      </c>
      <c r="D47" s="21">
        <v>3</v>
      </c>
    </row>
    <row r="48" spans="1:4" x14ac:dyDescent="0.3">
      <c r="A48" s="13">
        <v>1983</v>
      </c>
      <c r="B48" s="13">
        <v>2</v>
      </c>
      <c r="C48" s="13">
        <v>8294</v>
      </c>
      <c r="D48" s="13">
        <v>1.7</v>
      </c>
    </row>
    <row r="49" spans="1:4" x14ac:dyDescent="0.3">
      <c r="A49" s="13">
        <v>2004.6</v>
      </c>
      <c r="B49" s="13">
        <v>1.3</v>
      </c>
      <c r="C49" s="13">
        <v>8314</v>
      </c>
      <c r="D49" s="13">
        <v>4.5999999999999996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B2F7C-C222-4E6A-976F-47714D7661A7}">
  <dimension ref="A1:AD63"/>
  <sheetViews>
    <sheetView workbookViewId="0">
      <selection activeCell="AB20" sqref="AB20"/>
    </sheetView>
  </sheetViews>
  <sheetFormatPr defaultRowHeight="11.4" x14ac:dyDescent="0.2"/>
  <cols>
    <col min="1" max="1" width="8.88671875" style="23"/>
    <col min="2" max="2" width="7.109375" style="23" bestFit="1" customWidth="1"/>
    <col min="3" max="3" width="7.33203125" style="23" bestFit="1" customWidth="1"/>
    <col min="4" max="4" width="6.44140625" style="23" bestFit="1" customWidth="1"/>
    <col min="5" max="5" width="7.33203125" style="23" bestFit="1" customWidth="1"/>
    <col min="6" max="6" width="5" style="23" bestFit="1" customWidth="1"/>
    <col min="7" max="27" width="8.88671875" style="23"/>
    <col min="28" max="28" width="49.88671875" style="23" bestFit="1" customWidth="1"/>
    <col min="29" max="16384" width="8.88671875" style="23"/>
  </cols>
  <sheetData>
    <row r="1" spans="1:30" x14ac:dyDescent="0.2">
      <c r="A1" s="23">
        <v>6370.8</v>
      </c>
      <c r="L1" s="27"/>
      <c r="M1" s="27"/>
      <c r="N1" s="13" t="s">
        <v>302</v>
      </c>
      <c r="O1" s="13" t="s">
        <v>302</v>
      </c>
      <c r="P1" s="13" t="s">
        <v>302</v>
      </c>
      <c r="Q1" s="13" t="s">
        <v>302</v>
      </c>
      <c r="R1" s="13" t="s">
        <v>302</v>
      </c>
      <c r="S1" s="13" t="s">
        <v>302</v>
      </c>
      <c r="T1" s="13" t="s">
        <v>302</v>
      </c>
      <c r="U1" s="13" t="s">
        <v>302</v>
      </c>
      <c r="V1" s="13" t="s">
        <v>302</v>
      </c>
      <c r="W1" s="13" t="s">
        <v>302</v>
      </c>
      <c r="X1" s="13" t="s">
        <v>302</v>
      </c>
      <c r="Y1" s="13" t="s">
        <v>302</v>
      </c>
      <c r="Z1" s="13" t="s">
        <v>302</v>
      </c>
      <c r="AA1" s="13" t="s">
        <v>302</v>
      </c>
      <c r="AB1" s="27" t="s">
        <v>335</v>
      </c>
      <c r="AC1" s="27"/>
      <c r="AD1" s="27"/>
    </row>
    <row r="2" spans="1:30" x14ac:dyDescent="0.2">
      <c r="L2" s="27"/>
      <c r="M2" s="27"/>
      <c r="N2" s="13">
        <v>0</v>
      </c>
      <c r="O2" s="13">
        <v>1219.0999999999999</v>
      </c>
      <c r="P2" s="13">
        <v>1762.8</v>
      </c>
      <c r="Q2" s="13">
        <v>2645.6</v>
      </c>
      <c r="R2" s="13">
        <v>2694</v>
      </c>
      <c r="S2" s="13">
        <v>3002.7</v>
      </c>
      <c r="T2" s="13">
        <v>3162.5</v>
      </c>
      <c r="U2" s="13">
        <v>3917.9</v>
      </c>
      <c r="V2" s="13">
        <v>3942.6</v>
      </c>
      <c r="W2" s="13">
        <v>3967.3</v>
      </c>
      <c r="X2" s="13">
        <v>4058.4</v>
      </c>
      <c r="Y2" s="13">
        <v>4111</v>
      </c>
      <c r="Z2" s="13">
        <v>4173</v>
      </c>
      <c r="AA2" s="28">
        <v>4177.2</v>
      </c>
      <c r="AB2" s="27" t="s">
        <v>336</v>
      </c>
      <c r="AC2" s="27"/>
      <c r="AD2" s="27"/>
    </row>
    <row r="3" spans="1:30" x14ac:dyDescent="0.2">
      <c r="A3" s="13" t="s">
        <v>343</v>
      </c>
      <c r="B3" s="7" t="s">
        <v>63</v>
      </c>
      <c r="C3" s="7" t="s">
        <v>65</v>
      </c>
      <c r="D3" s="7" t="s">
        <v>66</v>
      </c>
      <c r="E3" s="7" t="s">
        <v>67</v>
      </c>
      <c r="H3" s="23" t="s">
        <v>3</v>
      </c>
      <c r="I3" s="23" t="s">
        <v>300</v>
      </c>
      <c r="J3" s="13"/>
      <c r="K3" s="13" t="s">
        <v>342</v>
      </c>
      <c r="L3" s="13" t="s">
        <v>63</v>
      </c>
      <c r="M3" s="13" t="s">
        <v>344</v>
      </c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9"/>
      <c r="Z3" s="29"/>
      <c r="AA3" s="27"/>
      <c r="AB3" s="27"/>
      <c r="AC3" s="27"/>
      <c r="AD3" s="27"/>
    </row>
    <row r="4" spans="1:30" x14ac:dyDescent="0.2">
      <c r="A4" s="12">
        <f>B4/35*34+$A$1</f>
        <v>7066.3428571428576</v>
      </c>
      <c r="B4" s="24">
        <v>716</v>
      </c>
      <c r="C4" s="23">
        <v>0.7</v>
      </c>
      <c r="D4" s="23">
        <v>0.2</v>
      </c>
      <c r="E4" s="24">
        <f>D4*F4</f>
        <v>0.1</v>
      </c>
      <c r="F4" s="25">
        <f>IF(D4&lt;1,50%,30%)</f>
        <v>0.5</v>
      </c>
      <c r="H4" s="23">
        <v>1219.0999999999999</v>
      </c>
      <c r="I4" s="23">
        <v>0.5</v>
      </c>
      <c r="J4" s="30"/>
      <c r="K4" s="28">
        <f>L4/35*34+$A$1</f>
        <v>7066.3428571428576</v>
      </c>
      <c r="L4" s="30">
        <v>716</v>
      </c>
      <c r="M4" s="30">
        <v>7063</v>
      </c>
      <c r="N4" s="30">
        <v>48</v>
      </c>
      <c r="O4" s="30">
        <v>18</v>
      </c>
      <c r="P4" s="30">
        <v>16</v>
      </c>
      <c r="Q4" s="30">
        <v>3</v>
      </c>
      <c r="R4" s="30">
        <v>6</v>
      </c>
      <c r="S4" s="30">
        <v>2</v>
      </c>
      <c r="T4" s="30">
        <v>6</v>
      </c>
      <c r="U4" s="27"/>
      <c r="V4" s="27"/>
      <c r="W4" s="27"/>
      <c r="X4" s="27">
        <v>1</v>
      </c>
      <c r="Y4" s="27"/>
      <c r="Z4" s="27"/>
      <c r="AA4" s="27"/>
      <c r="AB4" s="27"/>
      <c r="AC4" s="27"/>
      <c r="AD4" s="27"/>
    </row>
    <row r="5" spans="1:30" x14ac:dyDescent="0.2">
      <c r="A5" s="12">
        <f t="shared" ref="A5:A61" si="0">B5/35*34+$A$1</f>
        <v>7103.3542857142857</v>
      </c>
      <c r="B5" s="24">
        <v>754.1</v>
      </c>
      <c r="C5" s="23">
        <v>0.7</v>
      </c>
      <c r="D5" s="23">
        <v>0.5</v>
      </c>
      <c r="E5" s="24">
        <f t="shared" ref="E5:E15" si="1">D5*F5</f>
        <v>0.25</v>
      </c>
      <c r="F5" s="25">
        <f t="shared" ref="F5:F61" si="2">IF(D5&lt;1,50%,30%)</f>
        <v>0.5</v>
      </c>
      <c r="H5" s="23">
        <v>1762.8</v>
      </c>
      <c r="I5" s="23">
        <v>0.5</v>
      </c>
      <c r="J5" s="30"/>
      <c r="K5" s="28">
        <f t="shared" ref="K5:K51" si="3">L5/35*34+$A$1</f>
        <v>7103.2571428571428</v>
      </c>
      <c r="L5" s="30">
        <v>754</v>
      </c>
      <c r="M5" s="30">
        <v>7100</v>
      </c>
      <c r="N5" s="31">
        <v>11</v>
      </c>
      <c r="O5" s="30">
        <v>67</v>
      </c>
      <c r="P5" s="30">
        <v>4</v>
      </c>
      <c r="Q5" s="27"/>
      <c r="R5" s="30">
        <v>13</v>
      </c>
      <c r="S5" s="30">
        <v>3</v>
      </c>
      <c r="T5" s="27"/>
      <c r="U5" s="30">
        <v>2</v>
      </c>
      <c r="V5" s="27"/>
      <c r="W5" s="27"/>
      <c r="X5" s="27"/>
      <c r="Y5" s="27"/>
      <c r="Z5" s="27"/>
      <c r="AA5" s="27"/>
      <c r="AB5" s="27"/>
      <c r="AC5" s="27"/>
      <c r="AD5" s="27"/>
    </row>
    <row r="6" spans="1:30" x14ac:dyDescent="0.2">
      <c r="A6" s="12">
        <f t="shared" si="0"/>
        <v>7178.5428571428574</v>
      </c>
      <c r="B6" s="24">
        <v>831.5</v>
      </c>
      <c r="C6" s="23">
        <v>0.8</v>
      </c>
      <c r="D6" s="23">
        <v>0.4</v>
      </c>
      <c r="E6" s="24">
        <f t="shared" si="1"/>
        <v>0.2</v>
      </c>
      <c r="F6" s="25">
        <f t="shared" si="2"/>
        <v>0.5</v>
      </c>
      <c r="H6" s="23">
        <v>2645.6</v>
      </c>
      <c r="I6" s="23">
        <v>0.5</v>
      </c>
      <c r="J6" s="30"/>
      <c r="K6" s="28">
        <f t="shared" si="3"/>
        <v>7179.0285714285719</v>
      </c>
      <c r="L6" s="30">
        <v>832</v>
      </c>
      <c r="M6" s="30">
        <v>7175</v>
      </c>
      <c r="N6" s="30">
        <v>40</v>
      </c>
      <c r="O6" s="30">
        <v>16</v>
      </c>
      <c r="P6" s="27"/>
      <c r="Q6" s="27"/>
      <c r="R6" s="30">
        <v>4</v>
      </c>
      <c r="S6" s="27"/>
      <c r="T6" s="27"/>
      <c r="U6" s="30">
        <v>2</v>
      </c>
      <c r="V6" s="27"/>
      <c r="W6" s="30">
        <v>10</v>
      </c>
      <c r="X6" s="30">
        <v>24</v>
      </c>
      <c r="Y6" s="27"/>
      <c r="Z6" s="27"/>
      <c r="AA6" s="27"/>
      <c r="AB6" s="31" t="s">
        <v>309</v>
      </c>
      <c r="AC6" s="27"/>
      <c r="AD6" s="27"/>
    </row>
    <row r="7" spans="1:30" x14ac:dyDescent="0.2">
      <c r="A7" s="12">
        <f t="shared" si="0"/>
        <v>7194.7657142857142</v>
      </c>
      <c r="B7" s="24">
        <v>848.2</v>
      </c>
      <c r="C7" s="23">
        <v>0.7</v>
      </c>
      <c r="D7" s="23">
        <v>1.1000000000000001</v>
      </c>
      <c r="E7" s="24">
        <f t="shared" si="1"/>
        <v>0.33</v>
      </c>
      <c r="F7" s="25">
        <f t="shared" si="2"/>
        <v>0.3</v>
      </c>
      <c r="H7" s="23">
        <v>2694</v>
      </c>
      <c r="I7" s="23">
        <v>0.3</v>
      </c>
      <c r="J7" s="30"/>
      <c r="K7" s="28">
        <f t="shared" si="3"/>
        <v>7194.5714285714284</v>
      </c>
      <c r="L7" s="30">
        <v>848</v>
      </c>
      <c r="M7" s="30">
        <v>7192</v>
      </c>
      <c r="N7" s="27"/>
      <c r="O7" s="30">
        <v>72</v>
      </c>
      <c r="P7" s="27"/>
      <c r="Q7" s="27"/>
      <c r="R7" s="27"/>
      <c r="S7" s="27"/>
      <c r="T7" s="27"/>
      <c r="U7" s="30">
        <v>5</v>
      </c>
      <c r="V7" s="27"/>
      <c r="W7" s="30">
        <v>2</v>
      </c>
      <c r="X7" s="30">
        <v>3</v>
      </c>
      <c r="Y7" s="27"/>
      <c r="Z7" s="27"/>
      <c r="AA7" s="30">
        <v>15</v>
      </c>
      <c r="AB7" s="27" t="s">
        <v>337</v>
      </c>
      <c r="AC7" s="27"/>
      <c r="AD7" s="27"/>
    </row>
    <row r="8" spans="1:30" x14ac:dyDescent="0.2">
      <c r="A8" s="12">
        <f t="shared" si="0"/>
        <v>7226.1428571428569</v>
      </c>
      <c r="B8" s="24">
        <v>880.5</v>
      </c>
      <c r="C8" s="23">
        <v>0.8</v>
      </c>
      <c r="D8" s="23">
        <v>0.4</v>
      </c>
      <c r="E8" s="24">
        <f t="shared" si="1"/>
        <v>0.2</v>
      </c>
      <c r="F8" s="25">
        <f t="shared" si="2"/>
        <v>0.5</v>
      </c>
      <c r="H8" s="23">
        <v>3002.7</v>
      </c>
      <c r="I8" s="23">
        <v>0.7</v>
      </c>
      <c r="J8" s="30"/>
      <c r="K8" s="28">
        <f t="shared" si="3"/>
        <v>7226.6285714285714</v>
      </c>
      <c r="L8" s="30">
        <v>881</v>
      </c>
      <c r="M8" s="30">
        <v>7223</v>
      </c>
      <c r="N8" s="30">
        <v>58</v>
      </c>
      <c r="O8" s="27"/>
      <c r="P8" s="30">
        <v>8</v>
      </c>
      <c r="Q8" s="27"/>
      <c r="R8" s="30">
        <v>10</v>
      </c>
      <c r="S8" s="30">
        <v>3</v>
      </c>
      <c r="T8" s="27"/>
      <c r="U8" s="27">
        <v>1</v>
      </c>
      <c r="V8" s="27"/>
      <c r="W8" s="27"/>
      <c r="X8" s="27"/>
      <c r="Y8" s="27"/>
      <c r="Z8" s="30">
        <v>7</v>
      </c>
      <c r="AA8" s="27"/>
      <c r="AB8" s="27" t="s">
        <v>310</v>
      </c>
      <c r="AC8" s="27"/>
      <c r="AD8" s="27"/>
    </row>
    <row r="9" spans="1:30" x14ac:dyDescent="0.2">
      <c r="A9" s="12">
        <f t="shared" si="0"/>
        <v>7234.4</v>
      </c>
      <c r="B9" s="24">
        <v>889</v>
      </c>
      <c r="C9" s="23">
        <v>0.8</v>
      </c>
      <c r="D9" s="23">
        <v>1.3</v>
      </c>
      <c r="E9" s="24">
        <f t="shared" si="1"/>
        <v>0.39</v>
      </c>
      <c r="F9" s="25">
        <f t="shared" si="2"/>
        <v>0.3</v>
      </c>
      <c r="H9" s="23">
        <v>3162.5</v>
      </c>
      <c r="I9" s="23">
        <v>0.5</v>
      </c>
      <c r="J9" s="30"/>
      <c r="K9" s="28">
        <f t="shared" si="3"/>
        <v>7234.4</v>
      </c>
      <c r="L9" s="30">
        <v>889</v>
      </c>
      <c r="M9" s="30">
        <v>7231</v>
      </c>
      <c r="N9" s="30">
        <v>93</v>
      </c>
      <c r="O9" s="30">
        <v>2</v>
      </c>
      <c r="P9" s="27"/>
      <c r="Q9" s="30">
        <v>2</v>
      </c>
      <c r="R9" s="30">
        <v>2</v>
      </c>
      <c r="S9" s="27"/>
      <c r="T9" s="27"/>
      <c r="U9" s="27"/>
      <c r="V9" s="27"/>
      <c r="W9" s="27"/>
      <c r="X9" s="27"/>
      <c r="Y9" s="27"/>
      <c r="Z9" s="27"/>
      <c r="AA9" s="31">
        <v>1</v>
      </c>
      <c r="AB9" s="27"/>
      <c r="AC9" s="27"/>
      <c r="AD9" s="27"/>
    </row>
    <row r="10" spans="1:30" x14ac:dyDescent="0.2">
      <c r="A10" s="12">
        <f t="shared" si="0"/>
        <v>7272.4800000000005</v>
      </c>
      <c r="B10" s="24">
        <v>928.2</v>
      </c>
      <c r="C10" s="23">
        <v>0.9</v>
      </c>
      <c r="D10" s="23">
        <v>1.4</v>
      </c>
      <c r="E10" s="24">
        <f t="shared" si="1"/>
        <v>0.42</v>
      </c>
      <c r="F10" s="25">
        <f t="shared" si="2"/>
        <v>0.3</v>
      </c>
      <c r="H10" s="23">
        <v>3917.9</v>
      </c>
      <c r="I10" s="23">
        <v>0.6</v>
      </c>
      <c r="J10" s="30"/>
      <c r="K10" s="28">
        <f t="shared" si="3"/>
        <v>7272.2857142857147</v>
      </c>
      <c r="L10" s="30">
        <v>928</v>
      </c>
      <c r="M10" s="30">
        <v>7269</v>
      </c>
      <c r="N10" s="30">
        <v>69</v>
      </c>
      <c r="O10" s="30">
        <v>23</v>
      </c>
      <c r="P10" s="27"/>
      <c r="Q10" s="27"/>
      <c r="R10" s="27">
        <v>1</v>
      </c>
      <c r="S10" s="27"/>
      <c r="T10" s="27"/>
      <c r="U10" s="27"/>
      <c r="V10" s="27"/>
      <c r="W10" s="27">
        <v>1</v>
      </c>
      <c r="X10" s="27">
        <v>1</v>
      </c>
      <c r="Y10" s="27"/>
      <c r="Z10" s="27"/>
      <c r="AA10" s="32">
        <v>0.5</v>
      </c>
      <c r="AB10" s="31" t="s">
        <v>338</v>
      </c>
      <c r="AC10" s="27"/>
      <c r="AD10" s="27"/>
    </row>
    <row r="11" spans="1:30" x14ac:dyDescent="0.2">
      <c r="A11" s="12">
        <f t="shared" si="0"/>
        <v>7362.045714285714</v>
      </c>
      <c r="B11" s="24">
        <v>1020.4</v>
      </c>
      <c r="C11" s="23">
        <v>0.8</v>
      </c>
      <c r="D11" s="23">
        <v>3.2</v>
      </c>
      <c r="E11" s="24">
        <f t="shared" si="1"/>
        <v>0.96</v>
      </c>
      <c r="F11" s="25">
        <f t="shared" si="2"/>
        <v>0.3</v>
      </c>
      <c r="H11" s="23">
        <v>3942.6</v>
      </c>
      <c r="I11" s="23">
        <v>0.9</v>
      </c>
      <c r="J11" s="30"/>
      <c r="K11" s="28">
        <f t="shared" si="3"/>
        <v>7361.6571428571433</v>
      </c>
      <c r="L11" s="30">
        <v>1020</v>
      </c>
      <c r="M11" s="30">
        <v>7358</v>
      </c>
      <c r="N11" s="30">
        <v>10</v>
      </c>
      <c r="O11" s="30">
        <v>70</v>
      </c>
      <c r="P11" s="30">
        <v>10</v>
      </c>
      <c r="Q11" s="27"/>
      <c r="R11" s="27"/>
      <c r="S11" s="32">
        <v>0.5</v>
      </c>
      <c r="T11" s="27"/>
      <c r="U11" s="32">
        <v>0.5</v>
      </c>
      <c r="V11" s="27"/>
      <c r="W11" s="30">
        <v>3</v>
      </c>
      <c r="X11" s="30">
        <v>3</v>
      </c>
      <c r="Y11" s="27"/>
      <c r="Z11" s="27"/>
      <c r="AA11" s="27">
        <v>1</v>
      </c>
      <c r="AB11" s="27" t="s">
        <v>339</v>
      </c>
      <c r="AC11" s="27"/>
      <c r="AD11" s="27"/>
    </row>
    <row r="12" spans="1:30" x14ac:dyDescent="0.2">
      <c r="A12" s="12">
        <f t="shared" si="0"/>
        <v>7395.56</v>
      </c>
      <c r="B12" s="24">
        <v>1054.9000000000001</v>
      </c>
      <c r="C12" s="24">
        <v>1</v>
      </c>
      <c r="D12" s="23">
        <v>0.4</v>
      </c>
      <c r="E12" s="24">
        <f t="shared" si="1"/>
        <v>0.2</v>
      </c>
      <c r="F12" s="25">
        <f t="shared" si="2"/>
        <v>0.5</v>
      </c>
      <c r="H12" s="23">
        <v>3967.3</v>
      </c>
      <c r="I12" s="23">
        <v>0.6</v>
      </c>
      <c r="J12" s="30"/>
      <c r="K12" s="28">
        <f t="shared" si="3"/>
        <v>7395.6571428571433</v>
      </c>
      <c r="L12" s="30">
        <v>1055</v>
      </c>
      <c r="M12" s="30">
        <v>7392</v>
      </c>
      <c r="N12" s="27"/>
      <c r="O12" s="27"/>
      <c r="P12" s="27"/>
      <c r="Q12" s="30">
        <v>10</v>
      </c>
      <c r="R12" s="27"/>
      <c r="S12" s="30">
        <v>14</v>
      </c>
      <c r="T12" s="30">
        <v>49</v>
      </c>
      <c r="U12" s="27"/>
      <c r="V12" s="30">
        <v>8</v>
      </c>
      <c r="W12" s="27"/>
      <c r="X12" s="27"/>
      <c r="Y12" s="30">
        <v>9</v>
      </c>
      <c r="Z12" s="27"/>
      <c r="AA12" s="27"/>
      <c r="AB12" s="31" t="s">
        <v>308</v>
      </c>
      <c r="AC12" s="27"/>
      <c r="AD12" s="27"/>
    </row>
    <row r="13" spans="1:30" x14ac:dyDescent="0.2">
      <c r="A13" s="12">
        <f t="shared" si="0"/>
        <v>7451.2228571428577</v>
      </c>
      <c r="B13" s="24">
        <v>1112.2</v>
      </c>
      <c r="C13" s="24">
        <v>1</v>
      </c>
      <c r="D13" s="23">
        <v>0.3</v>
      </c>
      <c r="E13" s="24">
        <f t="shared" si="1"/>
        <v>0.15</v>
      </c>
      <c r="F13" s="25">
        <f t="shared" si="2"/>
        <v>0.5</v>
      </c>
      <c r="H13" s="23">
        <v>4058.4</v>
      </c>
      <c r="I13" s="23">
        <v>0.8</v>
      </c>
      <c r="J13" s="30"/>
      <c r="K13" s="28">
        <f t="shared" si="3"/>
        <v>7451.0285714285719</v>
      </c>
      <c r="L13" s="30">
        <v>1112</v>
      </c>
      <c r="M13" s="30">
        <v>7448</v>
      </c>
      <c r="N13" s="27"/>
      <c r="O13" s="30">
        <v>73</v>
      </c>
      <c r="P13" s="30">
        <v>4</v>
      </c>
      <c r="Q13" s="27"/>
      <c r="R13" s="30">
        <v>8</v>
      </c>
      <c r="S13" s="30">
        <v>10</v>
      </c>
      <c r="T13" s="27"/>
      <c r="U13" s="30">
        <v>5</v>
      </c>
      <c r="V13" s="27"/>
      <c r="W13" s="27"/>
      <c r="X13" s="27"/>
      <c r="Y13" s="27"/>
      <c r="Z13" s="27"/>
      <c r="AA13" s="27"/>
      <c r="AB13" s="27"/>
      <c r="AC13" s="27"/>
      <c r="AD13" s="27"/>
    </row>
    <row r="14" spans="1:30" x14ac:dyDescent="0.2">
      <c r="A14" s="12">
        <f t="shared" si="0"/>
        <v>7502.5142857142855</v>
      </c>
      <c r="B14" s="26">
        <v>1165</v>
      </c>
      <c r="D14" s="23">
        <v>0.6</v>
      </c>
      <c r="E14" s="24">
        <f t="shared" si="1"/>
        <v>0.3</v>
      </c>
      <c r="F14" s="25">
        <f t="shared" si="2"/>
        <v>0.5</v>
      </c>
      <c r="H14" s="23">
        <v>4111</v>
      </c>
      <c r="I14" s="23">
        <v>3</v>
      </c>
      <c r="J14" s="32"/>
      <c r="K14" s="21">
        <f t="shared" si="3"/>
        <v>7502.5142857142855</v>
      </c>
      <c r="L14" s="30">
        <v>1165</v>
      </c>
      <c r="M14" s="30">
        <v>7499</v>
      </c>
      <c r="N14" s="27"/>
      <c r="O14" s="27"/>
      <c r="P14" s="30">
        <v>7</v>
      </c>
      <c r="Q14" s="30">
        <v>55</v>
      </c>
      <c r="R14" s="27"/>
      <c r="S14" s="30">
        <v>13</v>
      </c>
      <c r="T14" s="27"/>
      <c r="U14" s="27"/>
      <c r="V14" s="30">
        <v>25</v>
      </c>
      <c r="W14" s="27"/>
      <c r="X14" s="27"/>
      <c r="Y14" s="27"/>
      <c r="Z14" s="27"/>
      <c r="AA14" s="27"/>
      <c r="AB14" s="27"/>
      <c r="AC14" s="27"/>
      <c r="AD14" s="27"/>
    </row>
    <row r="15" spans="1:30" x14ac:dyDescent="0.2">
      <c r="A15" s="12">
        <f t="shared" si="0"/>
        <v>7520.1942857142858</v>
      </c>
      <c r="B15" s="24">
        <v>1183.2</v>
      </c>
      <c r="C15" s="23">
        <v>1.1000000000000001</v>
      </c>
      <c r="D15" s="23">
        <v>0.2</v>
      </c>
      <c r="E15" s="24">
        <f t="shared" si="1"/>
        <v>0.1</v>
      </c>
      <c r="F15" s="25">
        <f t="shared" si="2"/>
        <v>0.5</v>
      </c>
      <c r="H15" s="23">
        <v>4173</v>
      </c>
      <c r="I15" s="23">
        <v>0.6</v>
      </c>
      <c r="J15" s="32"/>
      <c r="K15" s="21">
        <f t="shared" si="3"/>
        <v>7503.4857142857145</v>
      </c>
      <c r="L15" s="30">
        <v>1166</v>
      </c>
      <c r="M15" s="30">
        <v>7500</v>
      </c>
      <c r="N15" s="27"/>
      <c r="O15" s="30">
        <v>20</v>
      </c>
      <c r="P15" s="27"/>
      <c r="Q15" s="27"/>
      <c r="R15" s="27"/>
      <c r="S15" s="27"/>
      <c r="T15" s="27"/>
      <c r="U15" s="27"/>
      <c r="V15" s="27"/>
      <c r="W15" s="27"/>
      <c r="X15" s="30">
        <v>70</v>
      </c>
      <c r="Y15" s="27"/>
      <c r="Z15" s="27"/>
      <c r="AA15" s="27"/>
      <c r="AB15" s="31" t="s">
        <v>307</v>
      </c>
      <c r="AC15" s="27"/>
      <c r="AD15" s="27"/>
    </row>
    <row r="16" spans="1:30" x14ac:dyDescent="0.2">
      <c r="A16" s="12">
        <f t="shared" si="0"/>
        <v>7549.8228571428572</v>
      </c>
      <c r="B16" s="24">
        <v>1213.7</v>
      </c>
      <c r="C16" s="24">
        <v>1</v>
      </c>
      <c r="D16" s="23">
        <v>21</v>
      </c>
      <c r="E16" s="23">
        <v>3</v>
      </c>
      <c r="F16" s="25">
        <f t="shared" si="2"/>
        <v>0.3</v>
      </c>
      <c r="H16" s="23">
        <v>4177.2</v>
      </c>
      <c r="I16" s="23">
        <v>0.9</v>
      </c>
      <c r="J16" s="30"/>
      <c r="K16" s="28">
        <f t="shared" si="3"/>
        <v>7520</v>
      </c>
      <c r="L16" s="30">
        <v>1183</v>
      </c>
      <c r="M16" s="30">
        <v>7517</v>
      </c>
      <c r="N16" s="27"/>
      <c r="O16" s="27"/>
      <c r="P16" s="30">
        <v>20</v>
      </c>
      <c r="Q16" s="30">
        <v>3</v>
      </c>
      <c r="R16" s="27"/>
      <c r="S16" s="27"/>
      <c r="T16" s="30">
        <v>68</v>
      </c>
      <c r="U16" s="27"/>
      <c r="V16" s="30">
        <v>2</v>
      </c>
      <c r="W16" s="27"/>
      <c r="X16" s="27"/>
      <c r="Y16" s="27"/>
      <c r="Z16" s="27"/>
      <c r="AA16" s="27"/>
      <c r="AB16" s="31" t="s">
        <v>306</v>
      </c>
      <c r="AC16" s="27"/>
      <c r="AD16" s="27"/>
    </row>
    <row r="17" spans="1:30" x14ac:dyDescent="0.2">
      <c r="A17" s="12">
        <f t="shared" si="0"/>
        <v>7561.3828571428576</v>
      </c>
      <c r="B17" s="24">
        <v>1225.5999999999999</v>
      </c>
      <c r="C17" s="24">
        <v>1</v>
      </c>
      <c r="D17" s="23">
        <v>1.5</v>
      </c>
      <c r="E17" s="24">
        <f>D17*F17</f>
        <v>0.44999999999999996</v>
      </c>
      <c r="F17" s="25">
        <f t="shared" si="2"/>
        <v>0.3</v>
      </c>
      <c r="H17" s="23">
        <v>4347.5</v>
      </c>
      <c r="I17" s="23">
        <v>0.8</v>
      </c>
      <c r="J17" s="30"/>
      <c r="K17" s="28">
        <f t="shared" si="3"/>
        <v>7550.1142857142859</v>
      </c>
      <c r="L17" s="30">
        <v>1214</v>
      </c>
      <c r="M17" s="30">
        <v>7546</v>
      </c>
      <c r="N17" s="32">
        <v>0.2</v>
      </c>
      <c r="O17" s="27"/>
      <c r="P17" s="32">
        <v>0.3</v>
      </c>
      <c r="Q17" s="32">
        <v>0.5</v>
      </c>
      <c r="R17" s="27"/>
      <c r="S17" s="32">
        <v>1.8</v>
      </c>
      <c r="T17" s="30">
        <v>95</v>
      </c>
      <c r="U17" s="27"/>
      <c r="V17" s="27"/>
      <c r="W17" s="27"/>
      <c r="X17" s="27"/>
      <c r="Y17" s="27"/>
      <c r="Z17" s="27"/>
      <c r="AA17" s="27"/>
      <c r="AB17" s="31" t="s">
        <v>313</v>
      </c>
      <c r="AC17" s="27"/>
      <c r="AD17" s="27"/>
    </row>
    <row r="18" spans="1:30" x14ac:dyDescent="0.2">
      <c r="A18" s="12">
        <f t="shared" si="0"/>
        <v>7601.1142857142859</v>
      </c>
      <c r="B18" s="24">
        <v>1266.5</v>
      </c>
      <c r="C18" s="24">
        <v>1</v>
      </c>
      <c r="D18" s="23">
        <v>3.2</v>
      </c>
      <c r="E18" s="24">
        <f t="shared" ref="E18:E61" si="4">D18*F18</f>
        <v>0.96</v>
      </c>
      <c r="F18" s="25">
        <f t="shared" si="2"/>
        <v>0.3</v>
      </c>
      <c r="H18" s="23">
        <v>4625</v>
      </c>
      <c r="I18" s="23">
        <v>5</v>
      </c>
      <c r="J18" s="30"/>
      <c r="K18" s="28">
        <f t="shared" si="3"/>
        <v>7561.7714285714292</v>
      </c>
      <c r="L18" s="30">
        <v>1226</v>
      </c>
      <c r="M18" s="30">
        <v>7558</v>
      </c>
      <c r="N18" s="30">
        <v>36</v>
      </c>
      <c r="O18" s="30">
        <v>36</v>
      </c>
      <c r="P18" s="27"/>
      <c r="Q18" s="27"/>
      <c r="R18" s="30">
        <v>21</v>
      </c>
      <c r="S18" s="27"/>
      <c r="T18" s="27"/>
      <c r="U18" s="27">
        <v>1</v>
      </c>
      <c r="V18" s="27"/>
      <c r="W18" s="27"/>
      <c r="X18" s="30">
        <v>5</v>
      </c>
      <c r="Y18" s="27"/>
      <c r="Z18" s="27"/>
      <c r="AA18" s="31">
        <v>1</v>
      </c>
      <c r="AB18" s="27"/>
      <c r="AC18" s="27"/>
      <c r="AD18" s="27"/>
    </row>
    <row r="19" spans="1:30" x14ac:dyDescent="0.2">
      <c r="A19" s="12">
        <f t="shared" si="0"/>
        <v>7619.5714285714284</v>
      </c>
      <c r="B19" s="24">
        <v>1285.5</v>
      </c>
      <c r="C19" s="23">
        <v>1.1000000000000001</v>
      </c>
      <c r="D19" s="23">
        <v>1.2</v>
      </c>
      <c r="E19" s="24">
        <f t="shared" si="4"/>
        <v>0.36</v>
      </c>
      <c r="F19" s="25">
        <f t="shared" si="2"/>
        <v>0.3</v>
      </c>
      <c r="H19" s="23">
        <v>4768.8999999999996</v>
      </c>
      <c r="I19" s="23">
        <v>1.2</v>
      </c>
      <c r="J19" s="30"/>
      <c r="K19" s="28">
        <f t="shared" si="3"/>
        <v>7601.6</v>
      </c>
      <c r="L19" s="30">
        <v>1267</v>
      </c>
      <c r="M19" s="30">
        <v>7598</v>
      </c>
      <c r="N19" s="30">
        <v>31</v>
      </c>
      <c r="O19" s="31">
        <v>1</v>
      </c>
      <c r="P19" s="30">
        <v>2</v>
      </c>
      <c r="Q19" s="32">
        <v>1.5</v>
      </c>
      <c r="R19" s="30">
        <v>19</v>
      </c>
      <c r="S19" s="30">
        <v>9</v>
      </c>
      <c r="T19" s="30">
        <v>4</v>
      </c>
      <c r="U19" s="27"/>
      <c r="V19" s="27"/>
      <c r="W19" s="27"/>
      <c r="X19" s="32">
        <v>1.5</v>
      </c>
      <c r="Y19" s="27"/>
      <c r="Z19" s="30">
        <v>2</v>
      </c>
      <c r="AA19" s="30">
        <v>2</v>
      </c>
      <c r="AB19" s="27" t="s">
        <v>340</v>
      </c>
      <c r="AC19" s="27"/>
      <c r="AD19" s="27"/>
    </row>
    <row r="20" spans="1:30" x14ac:dyDescent="0.2">
      <c r="A20" s="12">
        <f t="shared" si="0"/>
        <v>7656.68</v>
      </c>
      <c r="B20" s="24">
        <v>1323.7</v>
      </c>
      <c r="C20" s="23">
        <v>1.2</v>
      </c>
      <c r="D20" s="23">
        <v>0.5</v>
      </c>
      <c r="E20" s="24">
        <f t="shared" si="4"/>
        <v>0.25</v>
      </c>
      <c r="F20" s="25">
        <f t="shared" si="2"/>
        <v>0.5</v>
      </c>
      <c r="H20" s="23">
        <v>4838</v>
      </c>
      <c r="I20" s="23">
        <v>3</v>
      </c>
      <c r="J20" s="30"/>
      <c r="K20" s="28">
        <f t="shared" si="3"/>
        <v>7619.0857142857149</v>
      </c>
      <c r="L20" s="30">
        <v>1285</v>
      </c>
      <c r="M20" s="30">
        <v>7616</v>
      </c>
      <c r="N20" s="30">
        <v>80</v>
      </c>
      <c r="O20" s="27"/>
      <c r="P20" s="30">
        <v>10</v>
      </c>
      <c r="Q20" s="27"/>
      <c r="R20" s="27"/>
      <c r="S20" s="27"/>
      <c r="T20" s="30">
        <v>3</v>
      </c>
      <c r="U20" s="27"/>
      <c r="V20" s="27"/>
      <c r="W20" s="27"/>
      <c r="X20" s="31">
        <v>1</v>
      </c>
      <c r="Y20" s="27"/>
      <c r="Z20" s="27"/>
      <c r="AA20" s="30">
        <v>3</v>
      </c>
      <c r="AB20" s="31" t="s">
        <v>305</v>
      </c>
      <c r="AC20" s="27"/>
      <c r="AD20" s="27"/>
    </row>
    <row r="21" spans="1:30" x14ac:dyDescent="0.2">
      <c r="A21" s="12">
        <f t="shared" si="0"/>
        <v>7672.32</v>
      </c>
      <c r="B21" s="24">
        <v>1339.8</v>
      </c>
      <c r="C21" s="23">
        <v>1.1000000000000001</v>
      </c>
      <c r="D21" s="23">
        <v>1.5</v>
      </c>
      <c r="E21" s="24">
        <f t="shared" si="4"/>
        <v>0.44999999999999996</v>
      </c>
      <c r="F21" s="25">
        <f t="shared" si="2"/>
        <v>0.3</v>
      </c>
      <c r="H21" s="23">
        <v>4853</v>
      </c>
      <c r="I21" s="23">
        <v>2</v>
      </c>
      <c r="J21" s="30"/>
      <c r="K21" s="28">
        <f t="shared" si="3"/>
        <v>7656.971428571429</v>
      </c>
      <c r="L21" s="30">
        <v>1324</v>
      </c>
      <c r="M21" s="30">
        <v>7653</v>
      </c>
      <c r="N21" s="30">
        <v>57</v>
      </c>
      <c r="O21" s="27"/>
      <c r="P21" s="27"/>
      <c r="Q21" s="27"/>
      <c r="R21" s="27"/>
      <c r="S21" s="27"/>
      <c r="T21" s="27"/>
      <c r="U21" s="27"/>
      <c r="V21" s="27"/>
      <c r="W21" s="30">
        <v>2</v>
      </c>
      <c r="X21" s="30">
        <v>32</v>
      </c>
      <c r="Y21" s="27"/>
      <c r="Z21" s="27"/>
      <c r="AA21" s="27">
        <v>1</v>
      </c>
      <c r="AB21" s="27" t="s">
        <v>315</v>
      </c>
      <c r="AC21" s="27"/>
      <c r="AD21" s="27"/>
    </row>
    <row r="22" spans="1:30" x14ac:dyDescent="0.2">
      <c r="A22" s="12">
        <f t="shared" si="0"/>
        <v>7685.8228571428572</v>
      </c>
      <c r="B22" s="24">
        <v>1353.7</v>
      </c>
      <c r="C22" s="23">
        <v>1.1000000000000001</v>
      </c>
      <c r="D22" s="23">
        <v>2.5</v>
      </c>
      <c r="E22" s="24">
        <f t="shared" si="4"/>
        <v>0.75</v>
      </c>
      <c r="F22" s="25">
        <f t="shared" si="2"/>
        <v>0.3</v>
      </c>
      <c r="H22" s="23">
        <v>4880.8999999999996</v>
      </c>
      <c r="I22" s="23">
        <v>1</v>
      </c>
      <c r="J22" s="30"/>
      <c r="K22" s="28">
        <f t="shared" si="3"/>
        <v>7672.5142857142855</v>
      </c>
      <c r="L22" s="30">
        <v>1340</v>
      </c>
      <c r="M22" s="30">
        <v>7669</v>
      </c>
      <c r="N22" s="30">
        <v>2</v>
      </c>
      <c r="O22" s="27"/>
      <c r="P22" s="30">
        <v>57</v>
      </c>
      <c r="Q22" s="30">
        <v>14</v>
      </c>
      <c r="R22" s="27"/>
      <c r="S22" s="30">
        <v>8</v>
      </c>
      <c r="T22" s="30">
        <v>4</v>
      </c>
      <c r="U22" s="27"/>
      <c r="V22" s="27"/>
      <c r="W22" s="27"/>
      <c r="X22" s="27"/>
      <c r="Y22" s="27"/>
      <c r="Z22" s="30">
        <v>4</v>
      </c>
      <c r="AA22" s="27"/>
      <c r="AB22" s="31" t="s">
        <v>314</v>
      </c>
      <c r="AC22" s="27"/>
      <c r="AD22" s="27"/>
    </row>
    <row r="23" spans="1:30" x14ac:dyDescent="0.2">
      <c r="A23" s="12">
        <f t="shared" si="0"/>
        <v>7694.2742857142857</v>
      </c>
      <c r="B23" s="24">
        <v>1362.4</v>
      </c>
      <c r="C23" s="23">
        <v>1.2</v>
      </c>
      <c r="D23" s="23">
        <v>0.4</v>
      </c>
      <c r="E23" s="24">
        <f t="shared" si="4"/>
        <v>0.2</v>
      </c>
      <c r="F23" s="25">
        <f t="shared" si="2"/>
        <v>0.5</v>
      </c>
      <c r="H23" s="23">
        <v>5008</v>
      </c>
      <c r="I23" s="23">
        <v>5</v>
      </c>
      <c r="J23" s="30"/>
      <c r="K23" s="28">
        <f t="shared" si="3"/>
        <v>7686.1142857142859</v>
      </c>
      <c r="L23" s="30">
        <v>1354</v>
      </c>
      <c r="M23" s="30">
        <v>7683</v>
      </c>
      <c r="N23" s="30">
        <v>72</v>
      </c>
      <c r="O23" s="27">
        <v>1</v>
      </c>
      <c r="P23" s="27"/>
      <c r="Q23" s="27"/>
      <c r="R23" s="27"/>
      <c r="S23" s="30">
        <v>9</v>
      </c>
      <c r="T23" s="27"/>
      <c r="U23" s="27"/>
      <c r="V23" s="27"/>
      <c r="W23" s="27"/>
      <c r="X23" s="30">
        <v>6</v>
      </c>
      <c r="Y23" s="27"/>
      <c r="Z23" s="30">
        <v>5</v>
      </c>
      <c r="AA23" s="30">
        <v>2</v>
      </c>
      <c r="AB23" s="27" t="s">
        <v>341</v>
      </c>
      <c r="AC23" s="27"/>
      <c r="AD23" s="27"/>
    </row>
    <row r="24" spans="1:30" x14ac:dyDescent="0.2">
      <c r="A24" s="12">
        <f t="shared" si="0"/>
        <v>7707.1942857142858</v>
      </c>
      <c r="B24" s="24">
        <v>1375.7</v>
      </c>
      <c r="C24" s="23">
        <v>1.1000000000000001</v>
      </c>
      <c r="D24" s="23">
        <v>3.7</v>
      </c>
      <c r="E24" s="24">
        <f t="shared" si="4"/>
        <v>1.1100000000000001</v>
      </c>
      <c r="F24" s="25">
        <f t="shared" si="2"/>
        <v>0.3</v>
      </c>
      <c r="H24" s="23">
        <v>5163</v>
      </c>
      <c r="I24" s="23">
        <v>5</v>
      </c>
      <c r="J24" s="30"/>
      <c r="K24" s="28">
        <f t="shared" si="3"/>
        <v>7693.8857142857141</v>
      </c>
      <c r="L24" s="30">
        <v>1362</v>
      </c>
      <c r="M24" s="30">
        <v>7691</v>
      </c>
      <c r="N24" s="30">
        <v>96</v>
      </c>
      <c r="O24" s="27"/>
      <c r="P24" s="27"/>
      <c r="Q24" s="27"/>
      <c r="R24" s="27"/>
      <c r="S24" s="30">
        <v>2</v>
      </c>
      <c r="T24" s="27"/>
      <c r="U24" s="27"/>
      <c r="V24" s="27"/>
      <c r="W24" s="27"/>
      <c r="X24" s="27">
        <v>1</v>
      </c>
      <c r="Y24" s="27"/>
      <c r="Z24" s="27"/>
      <c r="AA24" s="27"/>
      <c r="AB24" s="31" t="s">
        <v>304</v>
      </c>
      <c r="AC24" s="27"/>
      <c r="AD24" s="27"/>
    </row>
    <row r="25" spans="1:30" x14ac:dyDescent="0.2">
      <c r="A25" s="12">
        <f t="shared" si="0"/>
        <v>7745.954285714286</v>
      </c>
      <c r="B25" s="24">
        <v>1415.6</v>
      </c>
      <c r="C25" s="23">
        <v>1.2</v>
      </c>
      <c r="D25" s="23">
        <v>1.3</v>
      </c>
      <c r="E25" s="24">
        <f t="shared" si="4"/>
        <v>0.39</v>
      </c>
      <c r="F25" s="25">
        <f t="shared" si="2"/>
        <v>0.3</v>
      </c>
      <c r="H25" s="23">
        <v>5214</v>
      </c>
      <c r="I25" s="23">
        <v>3</v>
      </c>
      <c r="J25" s="30"/>
      <c r="K25" s="28">
        <f t="shared" si="3"/>
        <v>7707.4857142857145</v>
      </c>
      <c r="L25" s="30">
        <v>1376</v>
      </c>
      <c r="M25" s="30">
        <v>7704</v>
      </c>
      <c r="N25" s="30">
        <v>88</v>
      </c>
      <c r="O25" s="27">
        <v>1</v>
      </c>
      <c r="P25" s="27"/>
      <c r="Q25" s="30">
        <v>4</v>
      </c>
      <c r="R25" s="27"/>
      <c r="S25" s="27">
        <v>1</v>
      </c>
      <c r="T25" s="27"/>
      <c r="U25" s="27"/>
      <c r="V25" s="27"/>
      <c r="W25" s="27"/>
      <c r="X25" s="27"/>
      <c r="Y25" s="31">
        <v>1</v>
      </c>
      <c r="Z25" s="27"/>
      <c r="AA25" s="27"/>
      <c r="AB25" s="31" t="s">
        <v>311</v>
      </c>
      <c r="AC25" s="27"/>
      <c r="AD25" s="27"/>
    </row>
    <row r="26" spans="1:30" x14ac:dyDescent="0.2">
      <c r="A26" s="12">
        <f t="shared" si="0"/>
        <v>7778.4</v>
      </c>
      <c r="B26" s="24">
        <v>1449</v>
      </c>
      <c r="C26" s="23">
        <v>1.1000000000000001</v>
      </c>
      <c r="D26" s="23">
        <v>1.5</v>
      </c>
      <c r="E26" s="24">
        <f t="shared" si="4"/>
        <v>0.44999999999999996</v>
      </c>
      <c r="F26" s="25">
        <f t="shared" si="2"/>
        <v>0.3</v>
      </c>
      <c r="H26" s="23">
        <v>5400</v>
      </c>
      <c r="I26" s="23">
        <v>5</v>
      </c>
      <c r="J26" s="30"/>
      <c r="K26" s="28">
        <f t="shared" si="3"/>
        <v>7746.3428571428576</v>
      </c>
      <c r="L26" s="30">
        <v>1416</v>
      </c>
      <c r="M26" s="30">
        <v>7743</v>
      </c>
      <c r="N26" s="27"/>
      <c r="O26" s="27"/>
      <c r="P26" s="30">
        <v>2</v>
      </c>
      <c r="Q26" s="30">
        <v>43</v>
      </c>
      <c r="R26" s="27"/>
      <c r="S26" s="27"/>
      <c r="T26" s="30">
        <v>18</v>
      </c>
      <c r="U26" s="27"/>
      <c r="V26" s="30">
        <v>12</v>
      </c>
      <c r="W26" s="27"/>
      <c r="X26" s="27"/>
      <c r="Y26" s="30">
        <v>5</v>
      </c>
      <c r="Z26" s="27"/>
      <c r="AA26" s="27"/>
      <c r="AB26" s="31" t="s">
        <v>312</v>
      </c>
      <c r="AC26" s="27"/>
      <c r="AD26" s="27"/>
    </row>
    <row r="27" spans="1:30" x14ac:dyDescent="0.2">
      <c r="A27" s="12">
        <f t="shared" si="0"/>
        <v>7782.8685714285712</v>
      </c>
      <c r="B27" s="24">
        <v>1453.6</v>
      </c>
      <c r="C27" s="23">
        <v>1.1000000000000001</v>
      </c>
      <c r="D27" s="23">
        <v>0.8</v>
      </c>
      <c r="E27" s="24">
        <f t="shared" si="4"/>
        <v>0.4</v>
      </c>
      <c r="F27" s="25">
        <f t="shared" si="2"/>
        <v>0.5</v>
      </c>
      <c r="H27" s="23">
        <v>5587</v>
      </c>
      <c r="I27" s="23">
        <v>3</v>
      </c>
      <c r="J27" s="33"/>
      <c r="K27" s="28">
        <f t="shared" si="3"/>
        <v>7778.4</v>
      </c>
      <c r="L27" s="33">
        <v>1449</v>
      </c>
      <c r="M27" s="33">
        <v>7775</v>
      </c>
      <c r="N27" s="33">
        <v>16</v>
      </c>
      <c r="O27" s="33">
        <v>13</v>
      </c>
      <c r="P27" s="33">
        <v>46</v>
      </c>
      <c r="Q27" s="33">
        <v>2</v>
      </c>
      <c r="R27" s="33">
        <v>7</v>
      </c>
      <c r="S27" s="33">
        <v>4</v>
      </c>
      <c r="T27" s="27"/>
      <c r="U27" s="27"/>
      <c r="V27" s="27"/>
      <c r="W27" s="27"/>
      <c r="X27" s="27">
        <v>1</v>
      </c>
      <c r="Y27" s="27"/>
      <c r="Z27" s="27"/>
      <c r="AA27" s="33">
        <v>7</v>
      </c>
      <c r="AB27" s="34" t="s">
        <v>316</v>
      </c>
    </row>
    <row r="28" spans="1:30" x14ac:dyDescent="0.2">
      <c r="A28" s="12">
        <f t="shared" si="0"/>
        <v>7798.4114285714286</v>
      </c>
      <c r="B28" s="24">
        <v>1469.6</v>
      </c>
      <c r="C28" s="23">
        <v>1.2</v>
      </c>
      <c r="D28" s="23">
        <v>1.5</v>
      </c>
      <c r="E28" s="24">
        <f t="shared" si="4"/>
        <v>0.44999999999999996</v>
      </c>
      <c r="F28" s="25">
        <f t="shared" si="2"/>
        <v>0.3</v>
      </c>
      <c r="H28" s="23">
        <v>5598</v>
      </c>
      <c r="I28" s="23">
        <v>3</v>
      </c>
      <c r="J28" s="33"/>
      <c r="K28" s="28">
        <f t="shared" si="3"/>
        <v>7783.2571428571428</v>
      </c>
      <c r="L28" s="33">
        <v>1454</v>
      </c>
      <c r="M28" s="33">
        <v>7780</v>
      </c>
      <c r="N28" s="27"/>
      <c r="O28" s="27"/>
      <c r="P28" s="33">
        <v>20</v>
      </c>
      <c r="Q28" s="33">
        <v>9</v>
      </c>
      <c r="R28" s="27"/>
      <c r="S28" s="27"/>
      <c r="T28" s="33">
        <v>5</v>
      </c>
      <c r="U28" s="33">
        <v>10</v>
      </c>
      <c r="V28" s="27"/>
      <c r="W28" s="27"/>
      <c r="X28" s="27">
        <v>1</v>
      </c>
      <c r="Y28" s="33">
        <v>3</v>
      </c>
      <c r="Z28" s="33">
        <v>40</v>
      </c>
      <c r="AA28" s="27"/>
      <c r="AB28" s="35" t="s">
        <v>317</v>
      </c>
    </row>
    <row r="29" spans="1:30" x14ac:dyDescent="0.2">
      <c r="A29" s="12">
        <f t="shared" si="0"/>
        <v>7837.6571428571433</v>
      </c>
      <c r="B29" s="26">
        <v>1510</v>
      </c>
      <c r="D29" s="23">
        <v>11</v>
      </c>
      <c r="E29" s="26">
        <f t="shared" si="4"/>
        <v>3.3</v>
      </c>
      <c r="F29" s="25">
        <f t="shared" si="2"/>
        <v>0.3</v>
      </c>
      <c r="H29" s="23">
        <v>5645</v>
      </c>
      <c r="I29" s="23">
        <v>3</v>
      </c>
      <c r="J29" s="33"/>
      <c r="K29" s="28">
        <f t="shared" si="3"/>
        <v>7798.8</v>
      </c>
      <c r="L29" s="33">
        <v>1470</v>
      </c>
      <c r="M29" s="33">
        <v>7795</v>
      </c>
      <c r="N29" s="33">
        <v>85</v>
      </c>
      <c r="O29" s="33">
        <v>9</v>
      </c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35" t="s">
        <v>318</v>
      </c>
    </row>
    <row r="30" spans="1:30" x14ac:dyDescent="0.2">
      <c r="A30" s="12">
        <f t="shared" si="0"/>
        <v>7869.0342857142859</v>
      </c>
      <c r="B30" s="24">
        <v>1542.3</v>
      </c>
      <c r="C30" s="23">
        <v>1.3</v>
      </c>
      <c r="D30" s="23">
        <v>0.5</v>
      </c>
      <c r="E30" s="24">
        <f t="shared" si="4"/>
        <v>0.25</v>
      </c>
      <c r="F30" s="25">
        <f t="shared" si="2"/>
        <v>0.5</v>
      </c>
      <c r="H30" s="23">
        <v>5651</v>
      </c>
      <c r="I30" s="23">
        <v>3</v>
      </c>
      <c r="J30" s="33"/>
      <c r="K30" s="28">
        <f t="shared" si="3"/>
        <v>7840.5714285714284</v>
      </c>
      <c r="L30" s="33">
        <v>1513</v>
      </c>
      <c r="M30" s="33">
        <v>7834</v>
      </c>
      <c r="N30" s="33">
        <v>27</v>
      </c>
      <c r="O30" s="33">
        <v>27</v>
      </c>
      <c r="P30" s="36"/>
      <c r="Q30" s="36"/>
      <c r="R30" s="36"/>
      <c r="S30" s="33">
        <v>4</v>
      </c>
      <c r="T30" s="36"/>
      <c r="U30" s="36"/>
      <c r="V30" s="36"/>
      <c r="W30" s="36"/>
      <c r="X30" s="33">
        <v>2</v>
      </c>
      <c r="Y30" s="36"/>
      <c r="Z30" s="33">
        <v>3</v>
      </c>
      <c r="AA30" s="33">
        <v>35</v>
      </c>
      <c r="AB30" s="34" t="s">
        <v>319</v>
      </c>
    </row>
    <row r="31" spans="1:30" x14ac:dyDescent="0.2">
      <c r="A31" s="12">
        <f t="shared" si="0"/>
        <v>7881.2742857142857</v>
      </c>
      <c r="B31" s="24">
        <v>1554.9</v>
      </c>
      <c r="C31" s="23">
        <v>1.2</v>
      </c>
      <c r="D31" s="23">
        <v>1.6</v>
      </c>
      <c r="E31" s="24">
        <f t="shared" si="4"/>
        <v>0.48</v>
      </c>
      <c r="F31" s="25">
        <f t="shared" si="2"/>
        <v>0.3</v>
      </c>
      <c r="H31" s="23">
        <v>5682</v>
      </c>
      <c r="I31" s="23">
        <v>5</v>
      </c>
      <c r="J31" s="33"/>
      <c r="K31" s="28">
        <f t="shared" si="3"/>
        <v>7868.7428571428572</v>
      </c>
      <c r="L31" s="33">
        <v>1542</v>
      </c>
      <c r="M31" s="33">
        <v>7866</v>
      </c>
      <c r="N31" s="33">
        <v>62</v>
      </c>
      <c r="O31" s="33">
        <v>12</v>
      </c>
      <c r="P31" s="33">
        <v>18</v>
      </c>
      <c r="Q31" s="27"/>
      <c r="R31" s="27"/>
      <c r="S31" s="27"/>
      <c r="T31" s="27"/>
      <c r="U31" s="27"/>
      <c r="V31" s="27"/>
      <c r="W31" s="27"/>
      <c r="X31" s="27"/>
      <c r="Y31" s="27"/>
      <c r="Z31" s="33">
        <v>4</v>
      </c>
      <c r="AA31" s="27"/>
      <c r="AB31" s="34" t="s">
        <v>320</v>
      </c>
    </row>
    <row r="32" spans="1:30" x14ac:dyDescent="0.2">
      <c r="A32" s="12">
        <f t="shared" si="0"/>
        <v>7900.2171428571428</v>
      </c>
      <c r="B32" s="24">
        <v>1574.4</v>
      </c>
      <c r="C32" s="23">
        <v>1.2</v>
      </c>
      <c r="D32" s="23">
        <v>1.4</v>
      </c>
      <c r="E32" s="24">
        <f t="shared" si="4"/>
        <v>0.42</v>
      </c>
      <c r="F32" s="25">
        <f t="shared" si="2"/>
        <v>0.3</v>
      </c>
      <c r="H32" s="23">
        <v>5754</v>
      </c>
      <c r="I32" s="23">
        <v>5</v>
      </c>
      <c r="J32" s="33"/>
      <c r="K32" s="28">
        <f t="shared" si="3"/>
        <v>7881.3714285714286</v>
      </c>
      <c r="L32" s="37">
        <v>1555</v>
      </c>
      <c r="M32" s="33">
        <v>7878</v>
      </c>
      <c r="N32" s="33">
        <v>9</v>
      </c>
      <c r="O32" s="27"/>
      <c r="P32" s="33">
        <v>31</v>
      </c>
      <c r="Q32" s="27"/>
      <c r="R32" s="33">
        <v>30</v>
      </c>
      <c r="S32" s="33">
        <v>10</v>
      </c>
      <c r="T32" s="27"/>
      <c r="U32" s="33">
        <v>2</v>
      </c>
      <c r="V32" s="27"/>
      <c r="W32" s="27"/>
      <c r="X32" s="34">
        <v>1</v>
      </c>
      <c r="Y32" s="33">
        <v>4</v>
      </c>
      <c r="Z32" s="27"/>
      <c r="AA32" s="27"/>
      <c r="AB32" s="34" t="s">
        <v>321</v>
      </c>
    </row>
    <row r="33" spans="1:28" x14ac:dyDescent="0.2">
      <c r="A33" s="12">
        <f t="shared" si="0"/>
        <v>7924.017142857143</v>
      </c>
      <c r="B33" s="24">
        <v>1598.9</v>
      </c>
      <c r="C33" s="23">
        <v>1.3</v>
      </c>
      <c r="D33" s="23">
        <v>0.8</v>
      </c>
      <c r="E33" s="24">
        <f t="shared" si="4"/>
        <v>0.4</v>
      </c>
      <c r="F33" s="25">
        <f t="shared" si="2"/>
        <v>0.5</v>
      </c>
      <c r="H33" s="23">
        <v>5802</v>
      </c>
      <c r="I33" s="23">
        <v>5</v>
      </c>
      <c r="J33" s="33"/>
      <c r="K33" s="28">
        <f t="shared" si="3"/>
        <v>7899.8285714285712</v>
      </c>
      <c r="L33" s="33">
        <v>1574</v>
      </c>
      <c r="M33" s="33">
        <v>7897</v>
      </c>
      <c r="N33" s="33">
        <v>3</v>
      </c>
      <c r="O33" s="36"/>
      <c r="P33" s="33">
        <v>77</v>
      </c>
      <c r="Q33" s="36"/>
      <c r="R33" s="36"/>
      <c r="S33" s="36"/>
      <c r="T33" s="33">
        <v>4</v>
      </c>
      <c r="U33" s="36"/>
      <c r="V33" s="36"/>
      <c r="W33" s="36"/>
      <c r="X33" s="33">
        <v>2</v>
      </c>
      <c r="Y33" s="36"/>
      <c r="Z33" s="33">
        <v>6</v>
      </c>
      <c r="AA33" s="33">
        <v>8</v>
      </c>
      <c r="AB33" s="36"/>
    </row>
    <row r="34" spans="1:28" x14ac:dyDescent="0.2">
      <c r="A34" s="12">
        <f t="shared" si="0"/>
        <v>7971.0342857142859</v>
      </c>
      <c r="B34" s="24">
        <v>1647.3</v>
      </c>
      <c r="C34" s="23">
        <v>1.2</v>
      </c>
      <c r="D34" s="23">
        <v>1.2</v>
      </c>
      <c r="E34" s="24">
        <f t="shared" si="4"/>
        <v>0.36</v>
      </c>
      <c r="F34" s="25">
        <f t="shared" si="2"/>
        <v>0.3</v>
      </c>
      <c r="H34" s="23">
        <v>6102</v>
      </c>
      <c r="I34" s="23">
        <v>3</v>
      </c>
      <c r="J34" s="33"/>
      <c r="K34" s="28">
        <f t="shared" si="3"/>
        <v>7924.1142857142859</v>
      </c>
      <c r="L34" s="33">
        <v>1599</v>
      </c>
      <c r="M34" s="33">
        <v>7921</v>
      </c>
      <c r="N34" s="33">
        <v>48</v>
      </c>
      <c r="O34" s="33">
        <v>28</v>
      </c>
      <c r="P34" s="33">
        <v>1</v>
      </c>
      <c r="Q34" s="27"/>
      <c r="R34" s="33">
        <v>12</v>
      </c>
      <c r="S34" s="27"/>
      <c r="T34" s="27"/>
      <c r="U34" s="27">
        <v>1</v>
      </c>
      <c r="V34" s="27"/>
      <c r="W34" s="27">
        <v>1</v>
      </c>
      <c r="X34" s="34">
        <v>1</v>
      </c>
      <c r="Y34" s="27"/>
      <c r="Z34" s="33">
        <v>6</v>
      </c>
      <c r="AA34" s="33">
        <v>2</v>
      </c>
      <c r="AB34" s="27"/>
    </row>
    <row r="35" spans="1:28" x14ac:dyDescent="0.2">
      <c r="A35" s="12">
        <f t="shared" si="0"/>
        <v>7988.4228571428575</v>
      </c>
      <c r="B35" s="24">
        <v>1665.2</v>
      </c>
      <c r="C35" s="23">
        <v>1.2</v>
      </c>
      <c r="D35" s="23">
        <v>1.5</v>
      </c>
      <c r="E35" s="24">
        <f t="shared" si="4"/>
        <v>0.44999999999999996</v>
      </c>
      <c r="F35" s="25">
        <f t="shared" si="2"/>
        <v>0.3</v>
      </c>
      <c r="H35" s="23">
        <v>6489</v>
      </c>
      <c r="I35" s="23">
        <v>5</v>
      </c>
      <c r="J35" s="33"/>
      <c r="K35" s="28">
        <f t="shared" si="3"/>
        <v>7970.7428571428572</v>
      </c>
      <c r="L35" s="33">
        <v>1647</v>
      </c>
      <c r="M35" s="33">
        <v>7968</v>
      </c>
      <c r="N35" s="27"/>
      <c r="O35" s="27"/>
      <c r="P35" s="33">
        <v>21</v>
      </c>
      <c r="Q35" s="33">
        <v>22</v>
      </c>
      <c r="R35" s="27"/>
      <c r="S35" s="37">
        <v>5</v>
      </c>
      <c r="T35" s="33">
        <v>13</v>
      </c>
      <c r="U35" s="27"/>
      <c r="V35" s="27"/>
      <c r="W35" s="27"/>
      <c r="X35" s="27"/>
      <c r="Y35" s="33">
        <v>2</v>
      </c>
      <c r="Z35" s="33">
        <v>6</v>
      </c>
      <c r="AA35" s="27"/>
      <c r="AB35" s="35" t="s">
        <v>322</v>
      </c>
    </row>
    <row r="36" spans="1:28" x14ac:dyDescent="0.2">
      <c r="A36" s="12">
        <f t="shared" si="0"/>
        <v>7996.68</v>
      </c>
      <c r="B36" s="24">
        <v>1673.7</v>
      </c>
      <c r="C36" s="23">
        <v>1.1000000000000001</v>
      </c>
      <c r="D36" s="23">
        <v>2.7</v>
      </c>
      <c r="E36" s="24">
        <f t="shared" si="4"/>
        <v>0.81</v>
      </c>
      <c r="F36" s="25">
        <f t="shared" si="2"/>
        <v>0.3</v>
      </c>
      <c r="J36" s="33"/>
      <c r="K36" s="28">
        <f t="shared" si="3"/>
        <v>7988.2285714285717</v>
      </c>
      <c r="L36" s="33">
        <v>1665</v>
      </c>
      <c r="M36" s="33">
        <v>7985</v>
      </c>
      <c r="N36" s="33">
        <v>36</v>
      </c>
      <c r="O36" s="33">
        <v>62</v>
      </c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35" t="s">
        <v>323</v>
      </c>
    </row>
    <row r="37" spans="1:28" x14ac:dyDescent="0.2">
      <c r="A37" s="12">
        <f t="shared" si="0"/>
        <v>8002.5085714285715</v>
      </c>
      <c r="B37" s="24">
        <v>1679.7</v>
      </c>
      <c r="C37" s="23">
        <v>1.1000000000000001</v>
      </c>
      <c r="D37" s="23">
        <v>4.0999999999999996</v>
      </c>
      <c r="E37" s="24">
        <f t="shared" si="4"/>
        <v>1.2299999999999998</v>
      </c>
      <c r="F37" s="25">
        <f t="shared" si="2"/>
        <v>0.3</v>
      </c>
      <c r="J37" s="33"/>
      <c r="K37" s="28">
        <f t="shared" si="3"/>
        <v>7996.971428571429</v>
      </c>
      <c r="L37" s="33">
        <v>1674</v>
      </c>
      <c r="M37" s="33">
        <v>7993</v>
      </c>
      <c r="N37" s="33">
        <v>87</v>
      </c>
      <c r="O37" s="27"/>
      <c r="P37" s="27">
        <v>1</v>
      </c>
      <c r="Q37" s="27"/>
      <c r="R37" s="27"/>
      <c r="S37" s="27"/>
      <c r="T37" s="33">
        <v>6</v>
      </c>
      <c r="U37" s="27"/>
      <c r="V37" s="27"/>
      <c r="W37" s="27"/>
      <c r="X37" s="27"/>
      <c r="Y37" s="27"/>
      <c r="Z37" s="27"/>
      <c r="AA37" s="33">
        <v>3</v>
      </c>
      <c r="AB37" s="34" t="s">
        <v>324</v>
      </c>
    </row>
    <row r="38" spans="1:28" x14ac:dyDescent="0.2">
      <c r="A38" s="12">
        <f t="shared" si="0"/>
        <v>8006.977142857143</v>
      </c>
      <c r="B38" s="24">
        <v>1684.3</v>
      </c>
      <c r="C38" s="23">
        <v>1.3</v>
      </c>
      <c r="D38" s="23">
        <v>4.5</v>
      </c>
      <c r="E38" s="24">
        <f t="shared" si="4"/>
        <v>1.3499999999999999</v>
      </c>
      <c r="F38" s="25">
        <f t="shared" si="2"/>
        <v>0.3</v>
      </c>
      <c r="J38" s="33"/>
      <c r="K38" s="28">
        <f t="shared" si="3"/>
        <v>8002.8</v>
      </c>
      <c r="L38" s="33">
        <v>1680</v>
      </c>
      <c r="M38" s="33">
        <v>7999</v>
      </c>
      <c r="N38" s="34">
        <v>1</v>
      </c>
      <c r="O38" s="27"/>
      <c r="P38" s="33">
        <v>76</v>
      </c>
      <c r="Q38" s="33">
        <v>2</v>
      </c>
      <c r="R38" s="27"/>
      <c r="S38" s="27"/>
      <c r="T38" s="27"/>
      <c r="U38" s="27"/>
      <c r="V38" s="33">
        <v>2</v>
      </c>
      <c r="W38" s="27"/>
      <c r="X38" s="27"/>
      <c r="Y38" s="27"/>
      <c r="Z38" s="33">
        <v>8</v>
      </c>
      <c r="AA38" s="27"/>
      <c r="AB38" s="34" t="s">
        <v>325</v>
      </c>
    </row>
    <row r="39" spans="1:28" x14ac:dyDescent="0.2">
      <c r="A39" s="12">
        <f t="shared" si="0"/>
        <v>8035.8285714285712</v>
      </c>
      <c r="B39" s="24">
        <v>1714</v>
      </c>
      <c r="C39" s="23">
        <v>1.1000000000000001</v>
      </c>
      <c r="D39" s="23">
        <v>0.9</v>
      </c>
      <c r="E39" s="24">
        <f t="shared" si="4"/>
        <v>0.45</v>
      </c>
      <c r="F39" s="25">
        <f t="shared" si="2"/>
        <v>0.5</v>
      </c>
      <c r="J39" s="33"/>
      <c r="K39" s="28">
        <f t="shared" si="3"/>
        <v>8006.6857142857143</v>
      </c>
      <c r="L39" s="33">
        <v>1684</v>
      </c>
      <c r="M39" s="33">
        <v>8004</v>
      </c>
      <c r="N39" s="33">
        <v>60</v>
      </c>
      <c r="O39" s="36"/>
      <c r="P39" s="33">
        <v>20</v>
      </c>
      <c r="Q39" s="36"/>
      <c r="R39" s="36"/>
      <c r="S39" s="33">
        <v>3</v>
      </c>
      <c r="T39" s="33">
        <v>17</v>
      </c>
      <c r="U39" s="36"/>
      <c r="V39" s="36"/>
      <c r="W39" s="36"/>
      <c r="X39" s="36"/>
      <c r="Y39" s="36"/>
      <c r="Z39" s="36"/>
      <c r="AA39" s="36"/>
      <c r="AB39" s="36"/>
    </row>
    <row r="40" spans="1:28" x14ac:dyDescent="0.2">
      <c r="A40" s="12">
        <f t="shared" si="0"/>
        <v>8039.6171428571433</v>
      </c>
      <c r="B40" s="24">
        <v>1717.9</v>
      </c>
      <c r="C40" s="23">
        <v>1.1000000000000001</v>
      </c>
      <c r="D40" s="23">
        <v>3.5</v>
      </c>
      <c r="E40" s="24">
        <f t="shared" si="4"/>
        <v>1.05</v>
      </c>
      <c r="F40" s="25">
        <f t="shared" si="2"/>
        <v>0.3</v>
      </c>
      <c r="J40" s="33"/>
      <c r="K40" s="28">
        <f t="shared" si="3"/>
        <v>8035.8285714285712</v>
      </c>
      <c r="L40" s="33">
        <v>1714</v>
      </c>
      <c r="M40" s="33">
        <v>8033</v>
      </c>
      <c r="N40" s="33">
        <v>2</v>
      </c>
      <c r="O40" s="33">
        <v>56</v>
      </c>
      <c r="P40" s="33">
        <v>5</v>
      </c>
      <c r="Q40" s="27"/>
      <c r="R40" s="37">
        <v>5</v>
      </c>
      <c r="S40" s="27"/>
      <c r="T40" s="27"/>
      <c r="U40" s="27"/>
      <c r="V40" s="27"/>
      <c r="W40" s="27"/>
      <c r="X40" s="34">
        <v>11</v>
      </c>
      <c r="Y40" s="27"/>
      <c r="Z40" s="27"/>
      <c r="AA40" s="37">
        <v>15</v>
      </c>
      <c r="AB40" s="34" t="s">
        <v>326</v>
      </c>
    </row>
    <row r="41" spans="1:28" x14ac:dyDescent="0.2">
      <c r="A41" s="12">
        <f t="shared" si="0"/>
        <v>8076.6285714285714</v>
      </c>
      <c r="B41" s="24">
        <v>1756</v>
      </c>
      <c r="C41" s="24">
        <v>1</v>
      </c>
      <c r="D41" s="23">
        <v>1.6</v>
      </c>
      <c r="E41" s="24">
        <f t="shared" si="4"/>
        <v>0.48</v>
      </c>
      <c r="F41" s="25">
        <f t="shared" si="2"/>
        <v>0.3</v>
      </c>
      <c r="J41" s="33"/>
      <c r="K41" s="28">
        <f t="shared" si="3"/>
        <v>8039.7142857142862</v>
      </c>
      <c r="L41" s="33">
        <v>1718</v>
      </c>
      <c r="M41" s="33">
        <v>8036</v>
      </c>
      <c r="N41" s="33">
        <v>9</v>
      </c>
      <c r="O41" s="33">
        <v>6</v>
      </c>
      <c r="P41" s="33">
        <v>17</v>
      </c>
      <c r="Q41" s="27"/>
      <c r="R41" s="33">
        <v>61</v>
      </c>
      <c r="S41" s="33">
        <v>3</v>
      </c>
      <c r="T41" s="27"/>
      <c r="U41" s="27"/>
      <c r="V41" s="27"/>
      <c r="W41" s="27"/>
      <c r="X41" s="33">
        <v>4</v>
      </c>
      <c r="Y41" s="27"/>
      <c r="Z41" s="27"/>
      <c r="AA41" s="27"/>
      <c r="AB41" s="27"/>
    </row>
    <row r="42" spans="1:28" x14ac:dyDescent="0.2">
      <c r="A42" s="12">
        <f t="shared" si="0"/>
        <v>8096.7371428571432</v>
      </c>
      <c r="B42" s="24">
        <v>1776.7</v>
      </c>
      <c r="C42" s="23">
        <v>1.1000000000000001</v>
      </c>
      <c r="D42" s="23">
        <v>2.5</v>
      </c>
      <c r="E42" s="24">
        <f t="shared" si="4"/>
        <v>0.75</v>
      </c>
      <c r="F42" s="25">
        <f t="shared" si="2"/>
        <v>0.3</v>
      </c>
      <c r="J42" s="33"/>
      <c r="K42" s="28">
        <f t="shared" si="3"/>
        <v>8076.6285714285714</v>
      </c>
      <c r="L42" s="33">
        <v>1756</v>
      </c>
      <c r="M42" s="33">
        <v>8073</v>
      </c>
      <c r="N42" s="35">
        <v>1</v>
      </c>
      <c r="O42" s="35"/>
      <c r="P42" s="33">
        <v>53</v>
      </c>
      <c r="Q42" s="35"/>
      <c r="R42" s="35"/>
      <c r="S42" s="33">
        <v>2</v>
      </c>
      <c r="T42" s="35"/>
      <c r="U42" s="35"/>
      <c r="V42" s="35"/>
      <c r="W42" s="35"/>
      <c r="X42" s="35"/>
      <c r="Y42" s="33">
        <v>2</v>
      </c>
      <c r="Z42" s="33">
        <v>7</v>
      </c>
      <c r="AA42" s="35"/>
      <c r="AB42" s="35" t="s">
        <v>327</v>
      </c>
    </row>
    <row r="43" spans="1:28" x14ac:dyDescent="0.2">
      <c r="A43" s="12">
        <f t="shared" si="0"/>
        <v>8107.4228571428575</v>
      </c>
      <c r="B43" s="24">
        <v>1787.7</v>
      </c>
      <c r="C43" s="23">
        <v>1.1000000000000001</v>
      </c>
      <c r="D43" s="23">
        <v>4.2</v>
      </c>
      <c r="E43" s="24">
        <f t="shared" si="4"/>
        <v>1.26</v>
      </c>
      <c r="F43" s="25">
        <f t="shared" si="2"/>
        <v>0.3</v>
      </c>
      <c r="J43" s="33"/>
      <c r="K43" s="28">
        <f t="shared" si="3"/>
        <v>8097.0285714285719</v>
      </c>
      <c r="L43" s="33">
        <v>1777</v>
      </c>
      <c r="M43" s="33">
        <v>8093</v>
      </c>
      <c r="N43" s="33">
        <v>40</v>
      </c>
      <c r="O43" s="35"/>
      <c r="P43" s="33">
        <v>9</v>
      </c>
      <c r="Q43" s="33">
        <v>17</v>
      </c>
      <c r="R43" s="37">
        <v>5</v>
      </c>
      <c r="S43" s="35"/>
      <c r="T43" s="33">
        <v>5</v>
      </c>
      <c r="U43" s="33">
        <v>3</v>
      </c>
      <c r="V43" s="35"/>
      <c r="W43" s="35"/>
      <c r="X43" s="33">
        <v>2</v>
      </c>
      <c r="Y43" s="35"/>
      <c r="Z43" s="35"/>
      <c r="AA43" s="35"/>
      <c r="AB43" s="35" t="s">
        <v>328</v>
      </c>
    </row>
    <row r="44" spans="1:28" x14ac:dyDescent="0.2">
      <c r="A44" s="12">
        <f t="shared" si="0"/>
        <v>8114.32</v>
      </c>
      <c r="B44" s="24">
        <v>1794.8</v>
      </c>
      <c r="C44" s="23">
        <v>1.3</v>
      </c>
      <c r="D44" s="23">
        <v>1.2</v>
      </c>
      <c r="E44" s="24">
        <f t="shared" si="4"/>
        <v>0.36</v>
      </c>
      <c r="F44" s="25">
        <f t="shared" si="2"/>
        <v>0.3</v>
      </c>
      <c r="J44" s="33"/>
      <c r="K44" s="28">
        <f t="shared" si="3"/>
        <v>8107.7142857142862</v>
      </c>
      <c r="L44" s="33">
        <v>1788</v>
      </c>
      <c r="M44" s="33">
        <v>8104</v>
      </c>
      <c r="N44" s="33">
        <v>40</v>
      </c>
      <c r="O44" s="33">
        <v>35</v>
      </c>
      <c r="P44" s="33">
        <v>3</v>
      </c>
      <c r="Q44" s="27"/>
      <c r="R44" s="33">
        <v>8</v>
      </c>
      <c r="S44" s="33">
        <v>8</v>
      </c>
      <c r="T44" s="27"/>
      <c r="U44" s="27"/>
      <c r="V44" s="27"/>
      <c r="W44" s="33">
        <v>3</v>
      </c>
      <c r="X44" s="38">
        <v>0.5</v>
      </c>
      <c r="Y44" s="27"/>
      <c r="Z44" s="27"/>
      <c r="AA44" s="27">
        <v>1</v>
      </c>
      <c r="AB44" s="35" t="s">
        <v>329</v>
      </c>
    </row>
    <row r="45" spans="1:28" x14ac:dyDescent="0.2">
      <c r="A45" s="12">
        <f t="shared" si="0"/>
        <v>8147.64</v>
      </c>
      <c r="B45" s="24">
        <v>1829.1</v>
      </c>
      <c r="C45" s="23">
        <v>1.3</v>
      </c>
      <c r="D45" s="23">
        <v>2.4</v>
      </c>
      <c r="E45" s="24">
        <f t="shared" si="4"/>
        <v>0.72</v>
      </c>
      <c r="F45" s="25">
        <f t="shared" si="2"/>
        <v>0.3</v>
      </c>
      <c r="J45" s="33"/>
      <c r="K45" s="28">
        <f t="shared" si="3"/>
        <v>8114.5142857142855</v>
      </c>
      <c r="L45" s="33">
        <v>1795</v>
      </c>
      <c r="M45" s="33">
        <v>8111</v>
      </c>
      <c r="N45" s="33">
        <v>26</v>
      </c>
      <c r="O45" s="33">
        <v>32</v>
      </c>
      <c r="P45" s="33">
        <v>6</v>
      </c>
      <c r="Q45" s="27"/>
      <c r="R45" s="33">
        <v>17</v>
      </c>
      <c r="S45" s="27"/>
      <c r="T45" s="27"/>
      <c r="U45" s="27"/>
      <c r="V45" s="27"/>
      <c r="W45" s="33">
        <v>5</v>
      </c>
      <c r="X45" s="27"/>
      <c r="Y45" s="27"/>
      <c r="Z45" s="33">
        <v>5</v>
      </c>
      <c r="AA45" s="27"/>
      <c r="AB45" s="34" t="s">
        <v>330</v>
      </c>
    </row>
    <row r="46" spans="1:28" x14ac:dyDescent="0.2">
      <c r="A46" s="12">
        <f t="shared" si="0"/>
        <v>8157.2571428571428</v>
      </c>
      <c r="B46" s="24">
        <v>1839</v>
      </c>
      <c r="C46" s="23">
        <v>1.2</v>
      </c>
      <c r="D46" s="23">
        <v>2.1</v>
      </c>
      <c r="E46" s="24">
        <f t="shared" si="4"/>
        <v>0.63</v>
      </c>
      <c r="F46" s="25">
        <f t="shared" si="2"/>
        <v>0.3</v>
      </c>
      <c r="J46" s="33"/>
      <c r="K46" s="28">
        <f t="shared" si="3"/>
        <v>8147.5428571428574</v>
      </c>
      <c r="L46" s="33">
        <v>1829</v>
      </c>
      <c r="M46" s="33">
        <v>8144</v>
      </c>
      <c r="N46" s="33">
        <v>63</v>
      </c>
      <c r="O46" s="33">
        <v>15</v>
      </c>
      <c r="P46" s="27"/>
      <c r="Q46" s="27"/>
      <c r="R46" s="33">
        <v>3</v>
      </c>
      <c r="S46" s="27"/>
      <c r="T46" s="27"/>
      <c r="U46" s="33">
        <v>3</v>
      </c>
      <c r="V46" s="27"/>
      <c r="W46" s="27">
        <v>1</v>
      </c>
      <c r="X46" s="33">
        <v>3</v>
      </c>
      <c r="Y46" s="27"/>
      <c r="Z46" s="27"/>
      <c r="AA46" s="33">
        <v>9</v>
      </c>
      <c r="AB46" s="34" t="s">
        <v>331</v>
      </c>
    </row>
    <row r="47" spans="1:28" x14ac:dyDescent="0.2">
      <c r="A47" s="12">
        <f t="shared" si="0"/>
        <v>8180.2800000000007</v>
      </c>
      <c r="B47" s="24">
        <v>1862.7</v>
      </c>
      <c r="C47" s="23">
        <v>1.3</v>
      </c>
      <c r="D47" s="23">
        <v>0.8</v>
      </c>
      <c r="E47" s="24">
        <f t="shared" si="4"/>
        <v>0.4</v>
      </c>
      <c r="F47" s="25">
        <f t="shared" si="2"/>
        <v>0.5</v>
      </c>
      <c r="J47" s="33"/>
      <c r="K47" s="28">
        <f t="shared" si="3"/>
        <v>8157.2571428571428</v>
      </c>
      <c r="L47" s="33">
        <v>1839</v>
      </c>
      <c r="M47" s="33">
        <v>8154</v>
      </c>
      <c r="N47" s="33">
        <v>4</v>
      </c>
      <c r="O47" s="27"/>
      <c r="P47" s="27"/>
      <c r="Q47" s="33">
        <v>50</v>
      </c>
      <c r="R47" s="27"/>
      <c r="S47" s="33">
        <v>4</v>
      </c>
      <c r="T47" s="33">
        <v>9</v>
      </c>
      <c r="U47" s="27"/>
      <c r="V47" s="27"/>
      <c r="W47" s="27"/>
      <c r="X47" s="27"/>
      <c r="Y47" s="33">
        <v>7</v>
      </c>
      <c r="Z47" s="33">
        <v>8</v>
      </c>
      <c r="AA47" s="27"/>
      <c r="AB47" s="34" t="s">
        <v>332</v>
      </c>
    </row>
    <row r="48" spans="1:28" x14ac:dyDescent="0.2">
      <c r="A48" s="12">
        <f t="shared" si="0"/>
        <v>8209.908571428572</v>
      </c>
      <c r="B48" s="24">
        <v>1893.2</v>
      </c>
      <c r="C48" s="23">
        <v>1.1000000000000001</v>
      </c>
      <c r="D48" s="24">
        <v>8</v>
      </c>
      <c r="E48" s="24">
        <f t="shared" si="4"/>
        <v>2.4</v>
      </c>
      <c r="F48" s="25">
        <f t="shared" si="2"/>
        <v>0.3</v>
      </c>
      <c r="J48" s="33"/>
      <c r="K48" s="28">
        <f t="shared" si="3"/>
        <v>8180.5714285714284</v>
      </c>
      <c r="L48" s="33">
        <v>1863</v>
      </c>
      <c r="M48" s="33">
        <v>8177</v>
      </c>
      <c r="N48" s="33">
        <v>8</v>
      </c>
      <c r="O48" s="27"/>
      <c r="P48" s="33">
        <v>68</v>
      </c>
      <c r="Q48" s="27"/>
      <c r="R48" s="33">
        <v>3</v>
      </c>
      <c r="S48" s="33">
        <v>4</v>
      </c>
      <c r="T48" s="33">
        <v>8</v>
      </c>
      <c r="U48" s="27"/>
      <c r="V48" s="27"/>
      <c r="W48" s="27"/>
      <c r="X48" s="27"/>
      <c r="Y48" s="27"/>
      <c r="Z48" s="27"/>
      <c r="AA48" s="27"/>
      <c r="AB48" s="34" t="s">
        <v>333</v>
      </c>
    </row>
    <row r="49" spans="1:28" x14ac:dyDescent="0.2">
      <c r="A49" s="12">
        <f t="shared" si="0"/>
        <v>8218.2628571428577</v>
      </c>
      <c r="B49" s="24">
        <v>1901.8</v>
      </c>
      <c r="C49" s="23">
        <v>1.1000000000000001</v>
      </c>
      <c r="D49" s="23">
        <v>6.2</v>
      </c>
      <c r="E49" s="24">
        <f t="shared" si="4"/>
        <v>1.8599999999999999</v>
      </c>
      <c r="F49" s="25">
        <f t="shared" si="2"/>
        <v>0.3</v>
      </c>
      <c r="J49" s="33"/>
      <c r="K49" s="28">
        <f t="shared" si="3"/>
        <v>8209.7142857142862</v>
      </c>
      <c r="L49" s="33">
        <v>1893</v>
      </c>
      <c r="M49" s="33">
        <v>8207</v>
      </c>
      <c r="N49" s="33">
        <v>76</v>
      </c>
      <c r="O49" s="33">
        <v>3</v>
      </c>
      <c r="P49" s="33">
        <v>16</v>
      </c>
      <c r="Q49" s="27"/>
      <c r="R49" s="33">
        <v>1</v>
      </c>
      <c r="S49" s="34">
        <v>1</v>
      </c>
      <c r="T49" s="27"/>
      <c r="U49" s="27">
        <v>1</v>
      </c>
      <c r="V49" s="27"/>
      <c r="W49" s="27"/>
      <c r="X49" s="33">
        <v>2</v>
      </c>
      <c r="Y49" s="27"/>
      <c r="Z49" s="27"/>
      <c r="AA49" s="27"/>
      <c r="AB49" s="27"/>
    </row>
    <row r="50" spans="1:28" x14ac:dyDescent="0.2">
      <c r="A50" s="40">
        <f t="shared" si="0"/>
        <v>8243.908571428572</v>
      </c>
      <c r="B50" s="24">
        <v>1928.2</v>
      </c>
      <c r="C50" s="23">
        <v>1.3</v>
      </c>
      <c r="D50" s="23">
        <v>1.9</v>
      </c>
      <c r="E50" s="24">
        <f t="shared" si="4"/>
        <v>0.56999999999999995</v>
      </c>
      <c r="F50" s="25">
        <f t="shared" si="2"/>
        <v>0.3</v>
      </c>
      <c r="J50" s="34"/>
      <c r="K50" s="28">
        <f t="shared" si="3"/>
        <v>8218.4571428571435</v>
      </c>
      <c r="L50" s="34">
        <v>1902</v>
      </c>
      <c r="M50" s="34">
        <v>8215</v>
      </c>
      <c r="N50" s="34">
        <v>47</v>
      </c>
      <c r="O50" s="35"/>
      <c r="P50" s="35"/>
      <c r="Q50" s="35"/>
      <c r="R50" s="35">
        <v>4</v>
      </c>
      <c r="S50" s="39" t="s">
        <v>334</v>
      </c>
      <c r="T50" s="33">
        <v>44</v>
      </c>
      <c r="U50" s="35"/>
      <c r="V50" s="35"/>
      <c r="W50" s="35"/>
      <c r="X50" s="35"/>
      <c r="Y50" s="35"/>
      <c r="Z50" s="35"/>
      <c r="AA50" s="35"/>
      <c r="AB50" s="35"/>
    </row>
    <row r="51" spans="1:28" x14ac:dyDescent="0.2">
      <c r="A51" s="40">
        <f t="shared" si="0"/>
        <v>8270.8171428571441</v>
      </c>
      <c r="B51" s="24">
        <v>1955.9</v>
      </c>
      <c r="C51" s="23">
        <v>1.3</v>
      </c>
      <c r="D51" s="23">
        <v>1.8</v>
      </c>
      <c r="E51" s="24">
        <f t="shared" si="4"/>
        <v>0.54</v>
      </c>
      <c r="F51" s="25">
        <f t="shared" si="2"/>
        <v>0.3</v>
      </c>
      <c r="J51" s="27"/>
      <c r="K51" s="28">
        <f t="shared" si="3"/>
        <v>8384.5714285714294</v>
      </c>
      <c r="L51" s="27">
        <v>2073</v>
      </c>
      <c r="M51" s="27">
        <v>8382</v>
      </c>
      <c r="N51" s="27">
        <v>3</v>
      </c>
      <c r="O51" s="27"/>
      <c r="P51" s="33">
        <v>34</v>
      </c>
      <c r="Q51" s="37">
        <v>5</v>
      </c>
      <c r="R51" s="27">
        <v>1</v>
      </c>
      <c r="S51" s="27">
        <v>25</v>
      </c>
      <c r="T51" s="27"/>
      <c r="U51" s="33">
        <v>24</v>
      </c>
      <c r="V51" s="27"/>
      <c r="W51" s="27"/>
      <c r="X51" s="27"/>
      <c r="Y51" s="33">
        <v>8</v>
      </c>
      <c r="Z51" s="27"/>
      <c r="AA51" s="27"/>
      <c r="AB51" s="27"/>
    </row>
    <row r="52" spans="1:28" x14ac:dyDescent="0.2">
      <c r="A52" s="40">
        <f t="shared" si="0"/>
        <v>8278.7828571428581</v>
      </c>
      <c r="B52" s="24">
        <v>1964.1</v>
      </c>
      <c r="C52" s="23">
        <v>1.4</v>
      </c>
      <c r="D52" s="23">
        <v>1.6</v>
      </c>
      <c r="E52" s="24">
        <f t="shared" si="4"/>
        <v>0.48</v>
      </c>
      <c r="F52" s="25">
        <f t="shared" si="2"/>
        <v>0.3</v>
      </c>
      <c r="K52" s="13" t="s">
        <v>342</v>
      </c>
      <c r="L52" s="13" t="s">
        <v>63</v>
      </c>
      <c r="M52" s="13" t="s">
        <v>344</v>
      </c>
    </row>
    <row r="53" spans="1:28" x14ac:dyDescent="0.2">
      <c r="A53" s="40">
        <f t="shared" si="0"/>
        <v>8284.5142857142855</v>
      </c>
      <c r="B53" s="24">
        <v>1970</v>
      </c>
      <c r="C53" s="23">
        <v>1.3</v>
      </c>
      <c r="D53" s="23">
        <v>2.4</v>
      </c>
      <c r="E53" s="24">
        <f t="shared" si="4"/>
        <v>0.72</v>
      </c>
      <c r="F53" s="25">
        <f t="shared" si="2"/>
        <v>0.3</v>
      </c>
    </row>
    <row r="54" spans="1:28" x14ac:dyDescent="0.2">
      <c r="A54" s="40">
        <f t="shared" si="0"/>
        <v>8289.954285714286</v>
      </c>
      <c r="B54" s="24">
        <v>1975.6</v>
      </c>
      <c r="C54" s="23">
        <v>1.3</v>
      </c>
      <c r="D54" s="23">
        <v>2.9</v>
      </c>
      <c r="E54" s="24">
        <f t="shared" si="4"/>
        <v>0.87</v>
      </c>
      <c r="F54" s="25">
        <f t="shared" si="2"/>
        <v>0.3</v>
      </c>
      <c r="M54" s="23" t="s">
        <v>385</v>
      </c>
      <c r="N54" s="26">
        <f>N20</f>
        <v>80</v>
      </c>
      <c r="O54" s="26">
        <f t="shared" ref="O54:AA54" si="5">O20</f>
        <v>0</v>
      </c>
      <c r="P54" s="26">
        <f t="shared" si="5"/>
        <v>10</v>
      </c>
      <c r="Q54" s="26">
        <f t="shared" si="5"/>
        <v>0</v>
      </c>
      <c r="R54" s="26">
        <f t="shared" si="5"/>
        <v>0</v>
      </c>
      <c r="S54" s="26">
        <f t="shared" si="5"/>
        <v>0</v>
      </c>
      <c r="T54" s="26">
        <f t="shared" si="5"/>
        <v>3</v>
      </c>
      <c r="U54" s="26">
        <f t="shared" si="5"/>
        <v>0</v>
      </c>
      <c r="V54" s="26">
        <f t="shared" si="5"/>
        <v>0</v>
      </c>
      <c r="W54" s="26">
        <f t="shared" si="5"/>
        <v>0</v>
      </c>
      <c r="X54" s="26">
        <f t="shared" si="5"/>
        <v>1</v>
      </c>
      <c r="Y54" s="26">
        <f t="shared" si="5"/>
        <v>0</v>
      </c>
      <c r="Z54" s="26">
        <f t="shared" si="5"/>
        <v>0</v>
      </c>
      <c r="AA54" s="26">
        <f t="shared" si="5"/>
        <v>3</v>
      </c>
    </row>
    <row r="55" spans="1:28" x14ac:dyDescent="0.2">
      <c r="A55" s="40">
        <f t="shared" si="0"/>
        <v>8300.057142857142</v>
      </c>
      <c r="B55" s="24">
        <v>1986</v>
      </c>
      <c r="C55" s="23">
        <v>1.3</v>
      </c>
      <c r="D55" s="24">
        <v>4</v>
      </c>
      <c r="E55" s="24">
        <f t="shared" si="4"/>
        <v>1.2</v>
      </c>
      <c r="F55" s="25">
        <f t="shared" si="2"/>
        <v>0.3</v>
      </c>
      <c r="M55" s="23" t="s">
        <v>384</v>
      </c>
      <c r="N55" s="43">
        <f>$M20-N2</f>
        <v>7616</v>
      </c>
      <c r="O55" s="43">
        <f>$M20-O2</f>
        <v>6396.9</v>
      </c>
      <c r="P55" s="43">
        <f>$M20-P2</f>
        <v>5853.2</v>
      </c>
      <c r="Q55" s="43">
        <f>$M20-Q2</f>
        <v>4970.3999999999996</v>
      </c>
      <c r="R55" s="43">
        <f>$M20-R2</f>
        <v>4922</v>
      </c>
      <c r="S55" s="43">
        <f>$M20-S2</f>
        <v>4613.3</v>
      </c>
      <c r="T55" s="43">
        <f>$M20-T2</f>
        <v>4453.5</v>
      </c>
      <c r="U55" s="43">
        <f>$M20-U2</f>
        <v>3698.1</v>
      </c>
      <c r="V55" s="43">
        <f>$M20-V2</f>
        <v>3673.4</v>
      </c>
      <c r="W55" s="43">
        <f>$M20-W2</f>
        <v>3648.7</v>
      </c>
      <c r="X55" s="43">
        <f>$M20-X2</f>
        <v>3557.6</v>
      </c>
      <c r="Y55" s="43">
        <f>$M20-Y2</f>
        <v>3505</v>
      </c>
      <c r="Z55" s="43">
        <f>$M20-Z2</f>
        <v>3443</v>
      </c>
      <c r="AA55" s="43">
        <f>$M20-AA2</f>
        <v>3438.8</v>
      </c>
    </row>
    <row r="56" spans="1:28" x14ac:dyDescent="0.2">
      <c r="A56" s="40">
        <f t="shared" si="0"/>
        <v>8320.1657142857148</v>
      </c>
      <c r="B56" s="24">
        <v>2006.7</v>
      </c>
      <c r="C56" s="23">
        <v>1.2</v>
      </c>
      <c r="D56" s="23">
        <v>4.2</v>
      </c>
      <c r="E56" s="24">
        <f t="shared" si="4"/>
        <v>1.26</v>
      </c>
      <c r="F56" s="25">
        <f t="shared" si="2"/>
        <v>0.3</v>
      </c>
      <c r="N56" s="23" t="str">
        <f>N1</f>
        <v>Exf</v>
      </c>
      <c r="O56" s="23" t="str">
        <f>O1</f>
        <v>Exf</v>
      </c>
      <c r="P56" s="23" t="str">
        <f>P1</f>
        <v>Exf</v>
      </c>
      <c r="Q56" s="23" t="str">
        <f>Q1</f>
        <v>Exf</v>
      </c>
      <c r="R56" s="23" t="str">
        <f>R1</f>
        <v>Exf</v>
      </c>
      <c r="S56" s="23" t="str">
        <f>S1</f>
        <v>Exf</v>
      </c>
      <c r="T56" s="23" t="str">
        <f>T1</f>
        <v>Exf</v>
      </c>
      <c r="U56" s="23" t="str">
        <f>U1</f>
        <v>Exf</v>
      </c>
      <c r="V56" s="23" t="str">
        <f>V1</f>
        <v>Exf</v>
      </c>
      <c r="W56" s="23" t="str">
        <f>W1</f>
        <v>Exf</v>
      </c>
      <c r="X56" s="23" t="str">
        <f>X1</f>
        <v>Exf</v>
      </c>
      <c r="Y56" s="23" t="str">
        <f>Y1</f>
        <v>Exf</v>
      </c>
      <c r="Z56" s="23" t="str">
        <f>Z1</f>
        <v>Exf</v>
      </c>
      <c r="AA56" s="23" t="str">
        <f>AA1</f>
        <v>Exf</v>
      </c>
    </row>
    <row r="57" spans="1:28" x14ac:dyDescent="0.2">
      <c r="A57" s="40">
        <f t="shared" si="0"/>
        <v>8323.8571428571431</v>
      </c>
      <c r="B57" s="24">
        <v>2010.5</v>
      </c>
      <c r="C57" s="23">
        <v>1.3</v>
      </c>
      <c r="D57" s="24">
        <v>1</v>
      </c>
      <c r="E57" s="24">
        <f t="shared" si="4"/>
        <v>0.3</v>
      </c>
      <c r="F57" s="25">
        <f t="shared" si="2"/>
        <v>0.3</v>
      </c>
      <c r="N57" s="23">
        <f>N2</f>
        <v>0</v>
      </c>
      <c r="O57" s="23">
        <f>O2</f>
        <v>1219.0999999999999</v>
      </c>
      <c r="P57" s="23">
        <f>P2</f>
        <v>1762.8</v>
      </c>
      <c r="Q57" s="23">
        <f>Q2</f>
        <v>2645.6</v>
      </c>
      <c r="R57" s="23">
        <f>R2</f>
        <v>2694</v>
      </c>
      <c r="S57" s="23">
        <f>S2</f>
        <v>3002.7</v>
      </c>
      <c r="T57" s="23">
        <f>T2</f>
        <v>3162.5</v>
      </c>
      <c r="U57" s="23">
        <f>U2</f>
        <v>3917.9</v>
      </c>
      <c r="V57" s="23">
        <f>V2</f>
        <v>3942.6</v>
      </c>
      <c r="W57" s="23">
        <f>W2</f>
        <v>3967.3</v>
      </c>
      <c r="X57" s="23">
        <f>X2</f>
        <v>4058.4</v>
      </c>
      <c r="Y57" s="23">
        <f>Y2</f>
        <v>4111</v>
      </c>
      <c r="Z57" s="23">
        <f>Z2</f>
        <v>4173</v>
      </c>
      <c r="AA57" s="23">
        <f>AA2</f>
        <v>4177.2</v>
      </c>
    </row>
    <row r="58" spans="1:28" x14ac:dyDescent="0.2">
      <c r="A58" s="12">
        <f t="shared" si="0"/>
        <v>8385.057142857142</v>
      </c>
      <c r="B58" s="24">
        <v>2073.5</v>
      </c>
      <c r="C58" s="23">
        <v>1.2</v>
      </c>
      <c r="D58" s="23">
        <v>14.1</v>
      </c>
      <c r="E58" s="24">
        <f t="shared" si="4"/>
        <v>4.2299999999999995</v>
      </c>
      <c r="F58" s="25">
        <f t="shared" si="2"/>
        <v>0.3</v>
      </c>
    </row>
    <row r="59" spans="1:28" x14ac:dyDescent="0.2">
      <c r="A59" s="40">
        <f t="shared" si="0"/>
        <v>8391.3714285714286</v>
      </c>
      <c r="B59" s="24">
        <v>2080</v>
      </c>
      <c r="C59" s="23">
        <v>1.4</v>
      </c>
      <c r="D59" s="23">
        <v>0.6</v>
      </c>
      <c r="E59" s="24">
        <f t="shared" si="4"/>
        <v>0.3</v>
      </c>
      <c r="F59" s="25">
        <f t="shared" si="2"/>
        <v>0.5</v>
      </c>
    </row>
    <row r="60" spans="1:28" x14ac:dyDescent="0.2">
      <c r="A60" s="40">
        <f t="shared" si="0"/>
        <v>8407.4971428571425</v>
      </c>
      <c r="B60" s="24">
        <v>2096.6</v>
      </c>
      <c r="C60" s="23">
        <v>1.2</v>
      </c>
      <c r="D60" s="23">
        <v>6.4</v>
      </c>
      <c r="E60" s="24">
        <f t="shared" si="4"/>
        <v>1.92</v>
      </c>
      <c r="F60" s="25">
        <f t="shared" si="2"/>
        <v>0.3</v>
      </c>
    </row>
    <row r="61" spans="1:28" x14ac:dyDescent="0.2">
      <c r="A61" s="40">
        <f t="shared" si="0"/>
        <v>8411.7714285714283</v>
      </c>
      <c r="B61" s="24">
        <v>2101</v>
      </c>
      <c r="C61" s="23">
        <v>1.4</v>
      </c>
      <c r="D61" s="23">
        <v>3.6</v>
      </c>
      <c r="E61" s="24">
        <f t="shared" si="4"/>
        <v>1.08</v>
      </c>
      <c r="F61" s="25">
        <f t="shared" si="2"/>
        <v>0.3</v>
      </c>
    </row>
    <row r="63" spans="1:28" x14ac:dyDescent="0.2">
      <c r="A63" s="41" t="s">
        <v>345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8AF1C-2651-4BD5-9C4B-97413D66179F}">
  <dimension ref="A1:J33"/>
  <sheetViews>
    <sheetView tabSelected="1" workbookViewId="0">
      <selection activeCell="A23" sqref="A23"/>
    </sheetView>
  </sheetViews>
  <sheetFormatPr defaultRowHeight="14.4" x14ac:dyDescent="0.3"/>
  <sheetData>
    <row r="1" spans="1:10" x14ac:dyDescent="0.3">
      <c r="A1" s="42" t="s">
        <v>381</v>
      </c>
      <c r="B1" s="42">
        <v>0</v>
      </c>
      <c r="C1" s="42">
        <v>1219.0999999999999</v>
      </c>
      <c r="D1" s="42">
        <v>1762.8</v>
      </c>
      <c r="E1" s="42">
        <v>2645.6</v>
      </c>
      <c r="F1" s="42">
        <v>2694</v>
      </c>
      <c r="G1" s="42">
        <v>3002.7</v>
      </c>
      <c r="H1" s="42">
        <v>3162.5</v>
      </c>
      <c r="I1" s="42">
        <v>4177.2</v>
      </c>
      <c r="J1" s="42" t="s">
        <v>382</v>
      </c>
    </row>
    <row r="2" spans="1:10" x14ac:dyDescent="0.3">
      <c r="A2" s="42">
        <v>1219.0999999999999</v>
      </c>
      <c r="B2" s="42">
        <v>100</v>
      </c>
      <c r="C2" s="42"/>
      <c r="D2" s="42"/>
      <c r="E2" s="42"/>
      <c r="F2" s="42"/>
      <c r="G2" s="42"/>
      <c r="H2" s="42"/>
      <c r="I2" s="42"/>
      <c r="J2" s="42"/>
    </row>
    <row r="3" spans="1:10" x14ac:dyDescent="0.3">
      <c r="A3" s="42">
        <v>1762.8</v>
      </c>
      <c r="B3" s="42">
        <v>100</v>
      </c>
      <c r="C3" s="42" t="s">
        <v>346</v>
      </c>
      <c r="D3" s="42"/>
      <c r="E3" s="42"/>
      <c r="F3" s="42"/>
      <c r="G3" s="42"/>
      <c r="H3" s="42"/>
      <c r="I3" s="42"/>
      <c r="J3" s="42"/>
    </row>
    <row r="4" spans="1:10" x14ac:dyDescent="0.3">
      <c r="A4" s="42">
        <v>2645.6</v>
      </c>
      <c r="B4" s="42" t="s">
        <v>350</v>
      </c>
      <c r="C4" s="42"/>
      <c r="D4" s="42" t="s">
        <v>351</v>
      </c>
      <c r="E4" s="42"/>
      <c r="F4" s="42"/>
      <c r="G4" s="42"/>
      <c r="H4" s="42"/>
      <c r="I4" s="42"/>
      <c r="J4" s="42"/>
    </row>
    <row r="5" spans="1:10" x14ac:dyDescent="0.3">
      <c r="A5" s="42">
        <v>2694</v>
      </c>
      <c r="B5" s="42" t="s">
        <v>352</v>
      </c>
      <c r="C5" s="42" t="s">
        <v>268</v>
      </c>
      <c r="D5" s="42" t="s">
        <v>353</v>
      </c>
      <c r="E5" s="42"/>
      <c r="F5" s="42"/>
      <c r="G5" s="42"/>
      <c r="H5" s="42"/>
      <c r="I5" s="42"/>
      <c r="J5" s="42"/>
    </row>
    <row r="6" spans="1:10" x14ac:dyDescent="0.3">
      <c r="A6" s="42">
        <v>3002.7</v>
      </c>
      <c r="B6" s="42">
        <v>100</v>
      </c>
      <c r="C6" s="42" t="s">
        <v>347</v>
      </c>
      <c r="D6" s="42" t="s">
        <v>348</v>
      </c>
      <c r="E6" s="42"/>
      <c r="F6" s="42"/>
      <c r="G6" s="42"/>
      <c r="H6" s="42"/>
      <c r="I6" s="42"/>
      <c r="J6" s="42"/>
    </row>
    <row r="7" spans="1:10" x14ac:dyDescent="0.3">
      <c r="A7" s="42">
        <v>3162.5</v>
      </c>
      <c r="B7" s="42" t="s">
        <v>354</v>
      </c>
      <c r="C7" s="42"/>
      <c r="D7" s="42" t="s">
        <v>383</v>
      </c>
      <c r="E7" s="42" t="s">
        <v>355</v>
      </c>
      <c r="F7" s="42"/>
      <c r="G7" s="42"/>
      <c r="H7" s="42"/>
      <c r="I7" s="42"/>
      <c r="J7" s="42"/>
    </row>
    <row r="8" spans="1:10" x14ac:dyDescent="0.3">
      <c r="A8" s="42">
        <v>3917.9</v>
      </c>
      <c r="B8" s="42" t="s">
        <v>356</v>
      </c>
      <c r="C8" s="42"/>
      <c r="D8" s="42" t="s">
        <v>357</v>
      </c>
      <c r="E8" s="42"/>
      <c r="F8" s="42"/>
      <c r="G8" s="42"/>
      <c r="H8" s="42"/>
      <c r="I8" s="42"/>
      <c r="J8" s="42"/>
    </row>
    <row r="9" spans="1:10" x14ac:dyDescent="0.3">
      <c r="A9" s="42">
        <v>3942.6</v>
      </c>
      <c r="B9" s="42"/>
      <c r="C9" s="42"/>
      <c r="D9" s="42" t="s">
        <v>358</v>
      </c>
      <c r="E9" s="42" t="s">
        <v>359</v>
      </c>
      <c r="F9" s="42"/>
      <c r="G9" s="42"/>
      <c r="H9" s="42"/>
      <c r="I9" s="42"/>
      <c r="J9" s="42"/>
    </row>
    <row r="10" spans="1:10" x14ac:dyDescent="0.3">
      <c r="A10" s="42">
        <v>3967.3</v>
      </c>
      <c r="B10" s="42" t="s">
        <v>360</v>
      </c>
      <c r="C10" s="42" t="s">
        <v>361</v>
      </c>
      <c r="D10" s="42"/>
      <c r="E10" s="42"/>
      <c r="F10" s="42" t="s">
        <v>362</v>
      </c>
      <c r="G10" s="42"/>
      <c r="H10" s="42"/>
      <c r="I10" s="42"/>
      <c r="J10" s="42"/>
    </row>
    <row r="11" spans="1:10" x14ac:dyDescent="0.3">
      <c r="A11" s="42">
        <v>4058.4</v>
      </c>
      <c r="B11" s="42"/>
      <c r="C11" s="42" t="s">
        <v>363</v>
      </c>
      <c r="D11" s="42" t="s">
        <v>364</v>
      </c>
      <c r="E11" s="42"/>
      <c r="F11" s="42"/>
      <c r="G11" s="42"/>
      <c r="H11" s="42"/>
      <c r="I11" s="42"/>
      <c r="J11" s="42"/>
    </row>
    <row r="12" spans="1:10" x14ac:dyDescent="0.3">
      <c r="A12" s="42">
        <v>4111</v>
      </c>
      <c r="B12" s="42" t="s">
        <v>365</v>
      </c>
      <c r="C12" s="42"/>
      <c r="D12" s="42" t="s">
        <v>365</v>
      </c>
      <c r="E12" s="42"/>
      <c r="F12" s="42"/>
      <c r="G12" s="42"/>
      <c r="H12" s="42"/>
      <c r="I12" s="42"/>
      <c r="J12" s="42"/>
    </row>
    <row r="13" spans="1:10" x14ac:dyDescent="0.3">
      <c r="A13" s="42">
        <v>4173</v>
      </c>
      <c r="B13" s="42" t="s">
        <v>263</v>
      </c>
      <c r="C13" s="42" t="s">
        <v>349</v>
      </c>
      <c r="D13" s="42" t="s">
        <v>366</v>
      </c>
      <c r="E13" s="42"/>
      <c r="F13" s="42" t="s">
        <v>367</v>
      </c>
      <c r="G13" s="42"/>
      <c r="H13" s="42"/>
      <c r="I13" s="42"/>
      <c r="J13" s="42"/>
    </row>
    <row r="14" spans="1:10" x14ac:dyDescent="0.3">
      <c r="A14" s="42">
        <v>4177.2</v>
      </c>
      <c r="B14" s="42" t="s">
        <v>368</v>
      </c>
      <c r="C14" s="42" t="s">
        <v>369</v>
      </c>
      <c r="D14" s="42" t="s">
        <v>348</v>
      </c>
      <c r="E14" s="42"/>
      <c r="F14" s="42" t="s">
        <v>370</v>
      </c>
      <c r="G14" s="42"/>
      <c r="H14" s="42"/>
      <c r="I14" s="42"/>
      <c r="J14" s="42"/>
    </row>
    <row r="15" spans="1:10" x14ac:dyDescent="0.3">
      <c r="A15" s="42">
        <v>4347.5</v>
      </c>
      <c r="B15" s="42" t="s">
        <v>347</v>
      </c>
      <c r="C15" s="42"/>
      <c r="D15" s="42" t="s">
        <v>349</v>
      </c>
      <c r="E15" s="42" t="s">
        <v>244</v>
      </c>
      <c r="F15" s="42"/>
      <c r="G15" s="42"/>
      <c r="H15" s="42" t="s">
        <v>371</v>
      </c>
      <c r="I15" s="42"/>
      <c r="J15" s="42"/>
    </row>
    <row r="16" spans="1:10" x14ac:dyDescent="0.3">
      <c r="A16" s="42">
        <v>4625</v>
      </c>
      <c r="B16" s="42">
        <v>100</v>
      </c>
      <c r="C16" s="42"/>
      <c r="D16" s="42"/>
      <c r="E16" s="42"/>
      <c r="F16" s="42"/>
      <c r="G16" s="42"/>
      <c r="H16" s="42"/>
      <c r="I16" s="42"/>
      <c r="J16" s="42"/>
    </row>
    <row r="17" spans="1:10" x14ac:dyDescent="0.3">
      <c r="A17" s="42">
        <v>4768.8999999999996</v>
      </c>
      <c r="B17" s="42"/>
      <c r="C17" s="42"/>
      <c r="D17" s="42"/>
      <c r="E17" s="42"/>
      <c r="F17" s="42"/>
      <c r="G17" s="42"/>
      <c r="H17" s="42" t="s">
        <v>372</v>
      </c>
      <c r="I17" s="42"/>
      <c r="J17" s="42" t="s">
        <v>373</v>
      </c>
    </row>
    <row r="18" spans="1:10" x14ac:dyDescent="0.3">
      <c r="A18" s="42">
        <v>4838</v>
      </c>
      <c r="B18" s="42" t="s">
        <v>365</v>
      </c>
      <c r="C18" s="42"/>
      <c r="D18" s="42" t="s">
        <v>365</v>
      </c>
      <c r="E18" s="42"/>
      <c r="F18" s="42"/>
      <c r="G18" s="42"/>
      <c r="H18" s="42"/>
      <c r="I18" s="42"/>
      <c r="J18" s="42"/>
    </row>
    <row r="19" spans="1:10" x14ac:dyDescent="0.3">
      <c r="A19" s="42">
        <v>4853</v>
      </c>
      <c r="B19" s="42"/>
      <c r="C19" s="42">
        <v>100</v>
      </c>
      <c r="D19" s="42"/>
      <c r="E19" s="42"/>
      <c r="F19" s="42"/>
      <c r="G19" s="42"/>
      <c r="H19" s="42"/>
      <c r="I19" s="42"/>
      <c r="J19" s="42"/>
    </row>
    <row r="20" spans="1:10" x14ac:dyDescent="0.3">
      <c r="A20" s="42">
        <v>4880.8999999999996</v>
      </c>
      <c r="B20" s="42"/>
      <c r="C20" s="42"/>
      <c r="D20" s="42" t="s">
        <v>374</v>
      </c>
      <c r="E20" s="42" t="s">
        <v>271</v>
      </c>
      <c r="F20" s="42"/>
      <c r="G20" s="42"/>
      <c r="H20" s="42"/>
      <c r="I20" s="42"/>
      <c r="J20" s="42"/>
    </row>
    <row r="21" spans="1:10" x14ac:dyDescent="0.3">
      <c r="A21" s="42">
        <v>5008</v>
      </c>
      <c r="B21" s="42">
        <v>100</v>
      </c>
      <c r="C21" s="42"/>
      <c r="D21" s="42"/>
      <c r="E21" s="42"/>
      <c r="F21" s="42"/>
      <c r="G21" s="42"/>
      <c r="H21" s="42"/>
      <c r="I21" s="42"/>
      <c r="J21" s="42"/>
    </row>
    <row r="22" spans="1:10" x14ac:dyDescent="0.3">
      <c r="A22" s="42">
        <v>5163</v>
      </c>
      <c r="B22" s="42"/>
      <c r="C22" s="42"/>
      <c r="D22" s="42" t="s">
        <v>365</v>
      </c>
      <c r="E22" s="42"/>
      <c r="F22" s="42"/>
      <c r="G22" s="42" t="s">
        <v>375</v>
      </c>
      <c r="H22" s="42" t="s">
        <v>376</v>
      </c>
      <c r="I22" s="42"/>
      <c r="J22" s="42"/>
    </row>
    <row r="23" spans="1:10" x14ac:dyDescent="0.3">
      <c r="A23" s="42">
        <v>5214</v>
      </c>
      <c r="B23" s="42">
        <v>100</v>
      </c>
      <c r="C23" s="42"/>
      <c r="D23" s="42"/>
      <c r="E23" s="42"/>
      <c r="F23" s="42"/>
      <c r="G23" s="42"/>
      <c r="H23" s="42"/>
      <c r="I23" s="42"/>
      <c r="J23" s="42"/>
    </row>
    <row r="24" spans="1:10" x14ac:dyDescent="0.3">
      <c r="A24" s="42">
        <v>5400</v>
      </c>
      <c r="B24" s="42"/>
      <c r="C24" s="42" t="s">
        <v>377</v>
      </c>
      <c r="D24" s="42"/>
      <c r="E24" s="42"/>
      <c r="F24" s="42" t="s">
        <v>377</v>
      </c>
      <c r="G24" s="42"/>
      <c r="H24" s="42"/>
      <c r="I24" s="42"/>
      <c r="J24" s="42">
        <v>50</v>
      </c>
    </row>
    <row r="25" spans="1:10" x14ac:dyDescent="0.3">
      <c r="A25" s="42">
        <v>5587</v>
      </c>
      <c r="B25" s="42"/>
      <c r="C25" s="42"/>
      <c r="D25" s="42" t="s">
        <v>378</v>
      </c>
      <c r="E25" s="42" t="s">
        <v>376</v>
      </c>
      <c r="F25" s="42"/>
      <c r="G25" s="42"/>
      <c r="H25" s="42"/>
      <c r="I25" s="42"/>
      <c r="J25" s="42"/>
    </row>
    <row r="26" spans="1:10" x14ac:dyDescent="0.3">
      <c r="A26" s="42">
        <v>5598</v>
      </c>
      <c r="B26" s="42" t="s">
        <v>379</v>
      </c>
      <c r="C26" s="42"/>
      <c r="D26" s="42" t="s">
        <v>380</v>
      </c>
      <c r="E26" s="42"/>
      <c r="F26" s="42"/>
      <c r="G26" s="42"/>
      <c r="H26" s="42"/>
      <c r="I26" s="42"/>
      <c r="J26" s="42"/>
    </row>
    <row r="27" spans="1:10" x14ac:dyDescent="0.3">
      <c r="A27" s="42">
        <v>5645</v>
      </c>
      <c r="B27" s="42"/>
      <c r="C27" s="42"/>
      <c r="D27" s="42"/>
      <c r="E27" s="42"/>
      <c r="F27" s="42"/>
      <c r="G27" s="42"/>
      <c r="H27" s="42">
        <v>100</v>
      </c>
      <c r="I27" s="42"/>
      <c r="J27" s="42"/>
    </row>
    <row r="28" spans="1:10" x14ac:dyDescent="0.3">
      <c r="A28" s="42">
        <v>5651</v>
      </c>
      <c r="B28" s="42"/>
      <c r="C28" s="42"/>
      <c r="D28" s="42"/>
      <c r="E28" s="42"/>
      <c r="F28" s="42"/>
      <c r="G28" s="42">
        <v>100</v>
      </c>
      <c r="H28" s="42"/>
      <c r="I28" s="42"/>
      <c r="J28" s="42"/>
    </row>
    <row r="29" spans="1:10" x14ac:dyDescent="0.3">
      <c r="A29" s="42">
        <v>5682</v>
      </c>
      <c r="B29" s="42"/>
      <c r="C29" s="42"/>
      <c r="D29" s="42"/>
      <c r="E29" s="42"/>
      <c r="F29" s="42"/>
      <c r="G29" s="42"/>
      <c r="H29" s="42"/>
      <c r="I29" s="42">
        <v>100</v>
      </c>
      <c r="J29" s="42"/>
    </row>
    <row r="30" spans="1:10" x14ac:dyDescent="0.3">
      <c r="A30" s="42">
        <v>5754</v>
      </c>
      <c r="B30" s="42"/>
      <c r="C30" s="42"/>
      <c r="D30" s="42"/>
      <c r="E30" s="42"/>
      <c r="F30" s="42"/>
      <c r="G30" s="42"/>
      <c r="H30" s="42"/>
      <c r="I30" s="42"/>
      <c r="J30" s="42">
        <v>100</v>
      </c>
    </row>
    <row r="31" spans="1:10" x14ac:dyDescent="0.3">
      <c r="A31" s="42">
        <v>5802</v>
      </c>
      <c r="B31" s="42">
        <v>100</v>
      </c>
      <c r="C31" s="42"/>
      <c r="D31" s="42"/>
      <c r="E31" s="42"/>
      <c r="F31" s="42"/>
      <c r="G31" s="42"/>
      <c r="H31" s="42"/>
      <c r="I31" s="42"/>
      <c r="J31" s="42"/>
    </row>
    <row r="32" spans="1:10" x14ac:dyDescent="0.3">
      <c r="A32" s="42">
        <v>6102</v>
      </c>
      <c r="B32" s="42" t="s">
        <v>240</v>
      </c>
      <c r="C32" s="42" t="s">
        <v>264</v>
      </c>
      <c r="D32" s="42"/>
      <c r="E32" s="42"/>
      <c r="F32" s="42"/>
      <c r="G32" s="42"/>
      <c r="H32" s="42"/>
      <c r="I32" s="42"/>
      <c r="J32" s="42"/>
    </row>
    <row r="33" spans="1:10" x14ac:dyDescent="0.3">
      <c r="A33" s="42">
        <v>6489</v>
      </c>
      <c r="B33" s="42">
        <v>100</v>
      </c>
      <c r="C33" s="42"/>
      <c r="D33" s="42"/>
      <c r="E33" s="42"/>
      <c r="F33" s="42"/>
      <c r="G33" s="42"/>
      <c r="H33" s="42"/>
      <c r="I33" s="42"/>
      <c r="J33" s="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1976SP08_Ep</vt:lpstr>
      <vt:lpstr>1976SP08_MR</vt:lpstr>
      <vt:lpstr>1976ME12_R</vt:lpstr>
      <vt:lpstr>1976ME12_B</vt:lpstr>
      <vt:lpstr>1973FA07</vt:lpstr>
      <vt:lpstr>1972HU10_R</vt:lpstr>
      <vt:lpstr>1972HU10_B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Lijie Sun</dc:creator>
  <cp:lastModifiedBy>Lijie Sun</cp:lastModifiedBy>
  <dcterms:created xsi:type="dcterms:W3CDTF">2025-09-30T02:00:05Z</dcterms:created>
  <dcterms:modified xsi:type="dcterms:W3CDTF">2025-10-06T01:19:16Z</dcterms:modified>
</cp:coreProperties>
</file>