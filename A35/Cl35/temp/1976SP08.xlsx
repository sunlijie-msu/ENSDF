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ND\ENSDF\A35\Cl35\temp\"/>
    </mc:Choice>
  </mc:AlternateContent>
  <xr:revisionPtr revIDLastSave="0" documentId="13_ncr:1_{83E3EF86-26AD-417E-886C-4BC6E1E9EAA6}" xr6:coauthVersionLast="47" xr6:coauthVersionMax="47" xr10:uidLastSave="{00000000-0000-0000-0000-000000000000}"/>
  <bookViews>
    <workbookView xWindow="-108" yWindow="-108" windowWidth="23256" windowHeight="12720" activeTab="4" xr2:uid="{C580B2C4-D120-4EC4-942B-ED4733C9AE26}"/>
  </bookViews>
  <sheets>
    <sheet name="1976SP08_Ep" sheetId="1" r:id="rId1"/>
    <sheet name="1976SP08_MR" sheetId="2" r:id="rId2"/>
    <sheet name="1976ME12" sheetId="3" r:id="rId3"/>
    <sheet name="1976ME12 (2)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4" l="1"/>
  <c r="I1" i="4"/>
  <c r="J1" i="4"/>
  <c r="K1" i="4"/>
  <c r="L1" i="4"/>
  <c r="M1" i="4"/>
  <c r="N1" i="4"/>
  <c r="O1" i="4"/>
  <c r="P1" i="4"/>
  <c r="Q1" i="4"/>
  <c r="R1" i="4"/>
  <c r="S1" i="4"/>
  <c r="T1" i="4"/>
  <c r="G1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4" i="4"/>
  <c r="D13" i="4"/>
  <c r="D12" i="4"/>
  <c r="D11" i="4"/>
  <c r="D10" i="4"/>
  <c r="D9" i="4"/>
  <c r="D8" i="4"/>
  <c r="D7" i="4"/>
  <c r="D6" i="4"/>
  <c r="D5" i="4"/>
  <c r="D4" i="4"/>
  <c r="D3" i="4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4" i="3"/>
  <c r="D5" i="3"/>
  <c r="D6" i="3"/>
  <c r="D7" i="3"/>
  <c r="D8" i="3"/>
  <c r="D9" i="3"/>
  <c r="D10" i="3"/>
  <c r="D11" i="3"/>
  <c r="D12" i="3"/>
  <c r="D13" i="3"/>
  <c r="D14" i="3"/>
  <c r="D16" i="3"/>
  <c r="D17" i="3"/>
  <c r="D18" i="3"/>
  <c r="D19" i="3"/>
  <c r="D20" i="3"/>
  <c r="D21" i="3"/>
  <c r="D22" i="3"/>
  <c r="D23" i="3"/>
  <c r="D24" i="3"/>
  <c r="D25" i="3"/>
  <c r="D26" i="3"/>
  <c r="D27" i="3"/>
  <c r="D3" i="3"/>
  <c r="E17" i="2"/>
  <c r="E15" i="2"/>
  <c r="E16" i="2"/>
  <c r="E14" i="2"/>
  <c r="E12" i="2"/>
  <c r="E13" i="2"/>
  <c r="E8" i="2"/>
  <c r="E9" i="2"/>
  <c r="E10" i="2"/>
  <c r="E11" i="2"/>
  <c r="E7" i="2"/>
  <c r="E5" i="2"/>
  <c r="E6" i="2"/>
  <c r="E2" i="2"/>
  <c r="E3" i="2"/>
  <c r="E4" i="2"/>
  <c r="D12" i="2"/>
  <c r="D15" i="2"/>
  <c r="D16" i="2"/>
  <c r="D14" i="2"/>
  <c r="D13" i="2"/>
  <c r="D8" i="2"/>
  <c r="D9" i="2"/>
  <c r="D10" i="2"/>
  <c r="D11" i="2"/>
  <c r="D7" i="2"/>
  <c r="D5" i="2"/>
  <c r="D6" i="2"/>
  <c r="D2" i="2"/>
  <c r="D3" i="2"/>
  <c r="D4" i="2"/>
  <c r="D17" i="2"/>
  <c r="C15" i="2"/>
  <c r="C16" i="2"/>
  <c r="C14" i="2"/>
  <c r="C12" i="2"/>
  <c r="C13" i="2"/>
  <c r="C8" i="2"/>
  <c r="C9" i="2"/>
  <c r="C10" i="2"/>
  <c r="C11" i="2"/>
  <c r="C7" i="2"/>
  <c r="C5" i="2"/>
  <c r="C6" i="2"/>
  <c r="C2" i="2"/>
  <c r="C3" i="2"/>
  <c r="C4" i="2"/>
  <c r="C17" i="2"/>
  <c r="F81" i="1"/>
  <c r="F82" i="1"/>
  <c r="I9" i="1"/>
  <c r="F9" i="1" s="1"/>
  <c r="I10" i="1"/>
  <c r="F10" i="1" s="1"/>
  <c r="I11" i="1"/>
  <c r="F11" i="1" s="1"/>
  <c r="I12" i="1"/>
  <c r="F12" i="1" s="1"/>
  <c r="I13" i="1"/>
  <c r="F13" i="1" s="1"/>
  <c r="I14" i="1"/>
  <c r="F14" i="1" s="1"/>
  <c r="I15" i="1"/>
  <c r="F15" i="1" s="1"/>
  <c r="I16" i="1"/>
  <c r="F16" i="1" s="1"/>
  <c r="I17" i="1"/>
  <c r="F17" i="1" s="1"/>
  <c r="I18" i="1"/>
  <c r="F18" i="1" s="1"/>
  <c r="I19" i="1"/>
  <c r="F19" i="1" s="1"/>
  <c r="I20" i="1"/>
  <c r="F20" i="1" s="1"/>
  <c r="I21" i="1"/>
  <c r="F21" i="1" s="1"/>
  <c r="I22" i="1"/>
  <c r="F22" i="1" s="1"/>
  <c r="I23" i="1"/>
  <c r="F23" i="1" s="1"/>
  <c r="I24" i="1"/>
  <c r="F24" i="1" s="1"/>
  <c r="I25" i="1"/>
  <c r="F25" i="1" s="1"/>
  <c r="I26" i="1"/>
  <c r="F26" i="1" s="1"/>
  <c r="I27" i="1"/>
  <c r="F27" i="1" s="1"/>
  <c r="I28" i="1"/>
  <c r="F28" i="1" s="1"/>
  <c r="I29" i="1"/>
  <c r="F29" i="1" s="1"/>
  <c r="I30" i="1"/>
  <c r="F30" i="1" s="1"/>
  <c r="I31" i="1"/>
  <c r="F31" i="1" s="1"/>
  <c r="I32" i="1"/>
  <c r="F32" i="1" s="1"/>
  <c r="I33" i="1"/>
  <c r="F33" i="1" s="1"/>
  <c r="I34" i="1"/>
  <c r="F34" i="1" s="1"/>
  <c r="I35" i="1"/>
  <c r="F35" i="1" s="1"/>
  <c r="I36" i="1"/>
  <c r="F36" i="1" s="1"/>
  <c r="I37" i="1"/>
  <c r="F37" i="1" s="1"/>
  <c r="I38" i="1"/>
  <c r="F38" i="1" s="1"/>
  <c r="I39" i="1"/>
  <c r="F39" i="1" s="1"/>
  <c r="I40" i="1"/>
  <c r="F40" i="1" s="1"/>
  <c r="I41" i="1"/>
  <c r="F41" i="1" s="1"/>
  <c r="I42" i="1"/>
  <c r="F42" i="1" s="1"/>
  <c r="I43" i="1"/>
  <c r="F43" i="1" s="1"/>
  <c r="I44" i="1"/>
  <c r="F44" i="1" s="1"/>
  <c r="I45" i="1"/>
  <c r="F45" i="1" s="1"/>
  <c r="I46" i="1"/>
  <c r="F46" i="1" s="1"/>
  <c r="I47" i="1"/>
  <c r="F47" i="1" s="1"/>
  <c r="I48" i="1"/>
  <c r="F48" i="1" s="1"/>
  <c r="I49" i="1"/>
  <c r="F49" i="1" s="1"/>
  <c r="I50" i="1"/>
  <c r="F50" i="1" s="1"/>
  <c r="I51" i="1"/>
  <c r="F51" i="1" s="1"/>
  <c r="I52" i="1"/>
  <c r="F52" i="1" s="1"/>
  <c r="I53" i="1"/>
  <c r="F53" i="1" s="1"/>
  <c r="I54" i="1"/>
  <c r="F54" i="1" s="1"/>
  <c r="I55" i="1"/>
  <c r="F55" i="1" s="1"/>
  <c r="I56" i="1"/>
  <c r="F56" i="1" s="1"/>
  <c r="I57" i="1"/>
  <c r="F57" i="1" s="1"/>
  <c r="I58" i="1"/>
  <c r="F58" i="1" s="1"/>
  <c r="I59" i="1"/>
  <c r="F59" i="1" s="1"/>
  <c r="I60" i="1"/>
  <c r="F60" i="1" s="1"/>
  <c r="I61" i="1"/>
  <c r="F61" i="1" s="1"/>
  <c r="I62" i="1"/>
  <c r="F62" i="1" s="1"/>
  <c r="I63" i="1"/>
  <c r="F63" i="1" s="1"/>
  <c r="I64" i="1"/>
  <c r="F64" i="1" s="1"/>
  <c r="I65" i="1"/>
  <c r="F65" i="1" s="1"/>
  <c r="I66" i="1"/>
  <c r="F66" i="1" s="1"/>
  <c r="I67" i="1"/>
  <c r="F67" i="1" s="1"/>
  <c r="I68" i="1"/>
  <c r="F68" i="1" s="1"/>
  <c r="I69" i="1"/>
  <c r="F69" i="1" s="1"/>
  <c r="I70" i="1"/>
  <c r="F70" i="1" s="1"/>
  <c r="I71" i="1"/>
  <c r="F71" i="1" s="1"/>
  <c r="I72" i="1"/>
  <c r="F72" i="1" s="1"/>
  <c r="I73" i="1"/>
  <c r="F73" i="1" s="1"/>
  <c r="I74" i="1"/>
  <c r="F74" i="1" s="1"/>
  <c r="I75" i="1"/>
  <c r="F75" i="1" s="1"/>
  <c r="I76" i="1"/>
  <c r="F76" i="1" s="1"/>
  <c r="I77" i="1"/>
  <c r="F77" i="1" s="1"/>
  <c r="I78" i="1"/>
  <c r="F78" i="1" s="1"/>
  <c r="I79" i="1"/>
  <c r="F79" i="1" s="1"/>
  <c r="I80" i="1"/>
  <c r="F80" i="1" s="1"/>
  <c r="I81" i="1"/>
  <c r="I82" i="1"/>
  <c r="I83" i="1"/>
  <c r="F83" i="1" s="1"/>
  <c r="I84" i="1"/>
  <c r="F84" i="1" s="1"/>
  <c r="I85" i="1"/>
  <c r="F85" i="1" s="1"/>
  <c r="I3" i="1"/>
  <c r="F3" i="1" s="1"/>
  <c r="I4" i="1"/>
  <c r="F4" i="1" s="1"/>
  <c r="I5" i="1"/>
  <c r="F5" i="1" s="1"/>
  <c r="I6" i="1"/>
  <c r="F6" i="1" s="1"/>
  <c r="I7" i="1"/>
  <c r="F7" i="1" s="1"/>
  <c r="I8" i="1"/>
  <c r="F8" i="1" s="1"/>
  <c r="I2" i="1"/>
  <c r="F2" i="1" s="1"/>
</calcChain>
</file>

<file path=xl/sharedStrings.xml><?xml version="1.0" encoding="utf-8"?>
<sst xmlns="http://schemas.openxmlformats.org/spreadsheetml/2006/main" count="390" uniqueCount="311">
  <si>
    <t>No.</t>
  </si>
  <si>
    <t>Ep</t>
  </si>
  <si>
    <t>DEp</t>
  </si>
  <si>
    <t>Ex</t>
  </si>
  <si>
    <t>wg</t>
  </si>
  <si>
    <t>wg_err</t>
  </si>
  <si>
    <t>Dwg</t>
  </si>
  <si>
    <t>Ei(MeV)</t>
  </si>
  <si>
    <t>Ef(MeV)</t>
  </si>
  <si>
    <t>delta</t>
  </si>
  <si>
    <t>0.07(2)</t>
  </si>
  <si>
    <t>-0.01(3)</t>
  </si>
  <si>
    <t>0.21(2)</t>
  </si>
  <si>
    <t>or</t>
  </si>
  <si>
    <t>0.46(25)</t>
  </si>
  <si>
    <t>-0.23(25)</t>
  </si>
  <si>
    <t>0.00(10)</t>
  </si>
  <si>
    <t>0.56(3)</t>
  </si>
  <si>
    <t>0.05(4)</t>
  </si>
  <si>
    <t>0.16(2)</t>
  </si>
  <si>
    <t>-0.34(3)</t>
  </si>
  <si>
    <t>-0.00(4)</t>
  </si>
  <si>
    <t>0.018(12)</t>
  </si>
  <si>
    <t>-0.23(6)</t>
  </si>
  <si>
    <t>-0.08(7)</t>
  </si>
  <si>
    <t>0.00(3)</t>
  </si>
  <si>
    <t>0.52(5)</t>
  </si>
  <si>
    <t>-0.02(6)</t>
  </si>
  <si>
    <t>-0.44(20)</t>
  </si>
  <si>
    <t>-0.387(7)</t>
  </si>
  <si>
    <t>0.012(8)</t>
  </si>
  <si>
    <t>0.011(3)</t>
  </si>
  <si>
    <t>0.43(2)</t>
  </si>
  <si>
    <t>-0.01(2)</t>
  </si>
  <si>
    <t>0.06(2)</t>
  </si>
  <si>
    <t>0.11(2)</t>
  </si>
  <si>
    <t>0.02(2)</t>
  </si>
  <si>
    <t>0.184(14)</t>
  </si>
  <si>
    <t>0.60(3)</t>
  </si>
  <si>
    <t>-0.08(4)</t>
  </si>
  <si>
    <t>-0.60(10)</t>
  </si>
  <si>
    <t>-0.12(2)</t>
  </si>
  <si>
    <t>-0.19(2)</t>
  </si>
  <si>
    <t>0.39(5)</t>
  </si>
  <si>
    <t>8.2(7)</t>
  </si>
  <si>
    <t>0.12(3)</t>
  </si>
  <si>
    <t>-0.02(4)</t>
  </si>
  <si>
    <t>0.34(2)</t>
  </si>
  <si>
    <t>5.0(4)</t>
  </si>
  <si>
    <t>-0.243(11)</t>
  </si>
  <si>
    <t>0.05(2)</t>
  </si>
  <si>
    <t>-0.089(9)</t>
  </si>
  <si>
    <t>0.555(14)</t>
  </si>
  <si>
    <t>0.03(2)</t>
  </si>
  <si>
    <t>-0.11(2)</t>
  </si>
  <si>
    <t>-0.43(2)</t>
  </si>
  <si>
    <t>0.05(3)</t>
  </si>
  <si>
    <t>0.002(9)</t>
  </si>
  <si>
    <t>Eg (keV)</t>
  </si>
  <si>
    <t>Ei(keV)</t>
  </si>
  <si>
    <t>A2</t>
  </si>
  <si>
    <t>A4</t>
  </si>
  <si>
    <t>-20(+5-10)</t>
  </si>
  <si>
    <t>Ep_keV</t>
  </si>
  <si>
    <t>Ex_keV</t>
  </si>
  <si>
    <t>other_levels</t>
  </si>
  <si>
    <t>dEp_keV</t>
  </si>
  <si>
    <t>|w|g_eV</t>
  </si>
  <si>
    <t>d|w|g_eV</t>
  </si>
  <si>
    <t xml:space="preserve"> </t>
  </si>
  <si>
    <t xml:space="preserve"> 5.40(1.7)</t>
  </si>
  <si>
    <t xml:space="preserve"> 4.86(2)</t>
  </si>
  <si>
    <t xml:space="preserve"> 5.40(0.9)</t>
  </si>
  <si>
    <t xml:space="preserve"> 5.66(0.8)</t>
  </si>
  <si>
    <t xml:space="preserve"> 5.68(2.0)</t>
  </si>
  <si>
    <t xml:space="preserve"> 5.01(1.4)</t>
  </si>
  <si>
    <t xml:space="preserve"> 5.40(0.2)</t>
  </si>
  <si>
    <t xml:space="preserve"> 5.01(0.6)</t>
  </si>
  <si>
    <t xml:space="preserve"> 5.01(2)</t>
  </si>
  <si>
    <t xml:space="preserve"> 5.60(2)</t>
  </si>
  <si>
    <t xml:space="preserve"> 4.77(1.3)</t>
  </si>
  <si>
    <t xml:space="preserve"> 4.84(2)</t>
  </si>
  <si>
    <t xml:space="preserve"> 4.89(2)</t>
  </si>
  <si>
    <t xml:space="preserve"> 5.17(0.7)</t>
  </si>
  <si>
    <t xml:space="preserve"> 5.22(2)</t>
  </si>
  <si>
    <t xml:space="preserve"> 4.77(1.0)</t>
  </si>
  <si>
    <t xml:space="preserve"> 4.89(1.2)</t>
  </si>
  <si>
    <t xml:space="preserve"> 5.17(4)</t>
  </si>
  <si>
    <t xml:space="preserve"> 5.22(0.7)</t>
  </si>
  <si>
    <t xml:space="preserve"> 5.40(2)</t>
  </si>
  <si>
    <t xml:space="preserve"> 4.84(1.3)</t>
  </si>
  <si>
    <t xml:space="preserve"> 4.89(0.4)</t>
  </si>
  <si>
    <t xml:space="preserve"> 5.17(1.1)</t>
  </si>
  <si>
    <t xml:space="preserve"> 4.77(7)</t>
  </si>
  <si>
    <t xml:space="preserve"> 5.22(1.5)</t>
  </si>
  <si>
    <t xml:space="preserve"> 4.86(1.3)</t>
  </si>
  <si>
    <t xml:space="preserve"> Ex_keV</t>
  </si>
  <si>
    <t>&lt;0.8</t>
  </si>
  <si>
    <t>&lt;1.3</t>
  </si>
  <si>
    <t>&lt;3</t>
  </si>
  <si>
    <t>5.17(0.9)</t>
  </si>
  <si>
    <t>5.66(0.2)</t>
  </si>
  <si>
    <t>4.35(11)</t>
  </si>
  <si>
    <t xml:space="preserve"> 4.77(2)</t>
  </si>
  <si>
    <t>4.77(2)</t>
  </si>
  <si>
    <t>4.84(1.5)</t>
  </si>
  <si>
    <t xml:space="preserve"> 6.11(3)</t>
  </si>
  <si>
    <t>4.84(1.8)</t>
  </si>
  <si>
    <t xml:space="preserve"> 5.01(0.8)</t>
  </si>
  <si>
    <t>5.22(7)</t>
  </si>
  <si>
    <t>4.84(1.0)</t>
  </si>
  <si>
    <t xml:space="preserve"> 5.76(1.2)</t>
  </si>
  <si>
    <t xml:space="preserve"> 5.66(0.3)</t>
  </si>
  <si>
    <t>5.01(2)</t>
  </si>
  <si>
    <t xml:space="preserve"> 6.11(7)</t>
  </si>
  <si>
    <t>4.77(1.3)</t>
  </si>
  <si>
    <t xml:space="preserve"> 5.59(0.1)</t>
  </si>
  <si>
    <t xml:space="preserve"> 5.65(0.6)</t>
  </si>
  <si>
    <t>4.62(1.8)</t>
  </si>
  <si>
    <t>4.84(0.7)</t>
  </si>
  <si>
    <t xml:space="preserve"> 6.18(0.6)</t>
  </si>
  <si>
    <t>4.35(6)</t>
  </si>
  <si>
    <t>5.01(0.6)</t>
  </si>
  <si>
    <t>4.62(0.8)</t>
  </si>
  <si>
    <t xml:space="preserve"> 5.66(4)</t>
  </si>
  <si>
    <t xml:space="preserve"> 4.89(20)</t>
  </si>
  <si>
    <t>4.77(3)</t>
  </si>
  <si>
    <t xml:space="preserve"> 5.66(0.5)</t>
  </si>
  <si>
    <t>4.35(2)</t>
  </si>
  <si>
    <t xml:space="preserve"> 6.11(1.4)</t>
  </si>
  <si>
    <t>4.84(1.1)</t>
  </si>
  <si>
    <t>5.22(1.4)</t>
  </si>
  <si>
    <t xml:space="preserve"> 5.60(0.5)</t>
  </si>
  <si>
    <t xml:space="preserve"> 6.18(0.5)</t>
  </si>
  <si>
    <t>5.01(3)</t>
  </si>
  <si>
    <t xml:space="preserve"> 5.22(1.0)</t>
  </si>
  <si>
    <t>4.62(2)</t>
  </si>
  <si>
    <t xml:space="preserve"> 4.84(1.7)</t>
  </si>
  <si>
    <t xml:space="preserve"> 5.66(12)</t>
  </si>
  <si>
    <t>4.62(0.5)</t>
  </si>
  <si>
    <t xml:space="preserve"> 4.89(0.8)</t>
  </si>
  <si>
    <t xml:space="preserve"> 5.17(0.9)</t>
  </si>
  <si>
    <t xml:space="preserve"> 5.65(1.5)</t>
  </si>
  <si>
    <t>4.62(1.9)</t>
  </si>
  <si>
    <t xml:space="preserve"> 4.84(1.4)</t>
  </si>
  <si>
    <t>4.35(8)</t>
  </si>
  <si>
    <t xml:space="preserve"> 4.77(5)</t>
  </si>
  <si>
    <t xml:space="preserve"> 4.89(10)</t>
  </si>
  <si>
    <t xml:space="preserve"> 5.22(3)</t>
  </si>
  <si>
    <t xml:space="preserve"> 5.59(3)</t>
  </si>
  <si>
    <t>5.66(1.7)</t>
  </si>
  <si>
    <t>5.17(1.5)</t>
  </si>
  <si>
    <t xml:space="preserve"> 5.40(3)</t>
  </si>
  <si>
    <t xml:space="preserve"> 5.60(1.1)</t>
  </si>
  <si>
    <t xml:space="preserve"> 5.81(0.6)</t>
  </si>
  <si>
    <t>4.35(1.9)</t>
  </si>
  <si>
    <t xml:space="preserve"> 4.77(8)</t>
  </si>
  <si>
    <t xml:space="preserve"> 4.89(0.7)</t>
  </si>
  <si>
    <t xml:space="preserve"> 5.22(0.8)</t>
  </si>
  <si>
    <t>4.84(3)</t>
  </si>
  <si>
    <t xml:space="preserve"> 4.89(0.6)</t>
  </si>
  <si>
    <t xml:space="preserve"> 5.66(1.8)</t>
  </si>
  <si>
    <t>4.62(3)</t>
  </si>
  <si>
    <t xml:space="preserve"> 4.84(1.6)</t>
  </si>
  <si>
    <t xml:space="preserve"> 4.86(0.6)</t>
  </si>
  <si>
    <t>4.77(4)</t>
  </si>
  <si>
    <t xml:space="preserve"> 5.22(8)</t>
  </si>
  <si>
    <t xml:space="preserve"> 5.59(11)</t>
  </si>
  <si>
    <t xml:space="preserve"> 5.65(11)</t>
  </si>
  <si>
    <t xml:space="preserve"> 4.84(3)</t>
  </si>
  <si>
    <t xml:space="preserve"> 5.17(2)</t>
  </si>
  <si>
    <t xml:space="preserve"> 5.22(1.3)</t>
  </si>
  <si>
    <t xml:space="preserve"> 5.65(5)</t>
  </si>
  <si>
    <t xml:space="preserve"> 5.81(2)</t>
  </si>
  <si>
    <t>4.84(0.5)</t>
  </si>
  <si>
    <t>5.22(1.8)</t>
  </si>
  <si>
    <t xml:space="preserve"> 5.66(0.9)</t>
  </si>
  <si>
    <t xml:space="preserve"> 5.81(1.1)</t>
  </si>
  <si>
    <t xml:space="preserve"> 6.10(6)</t>
  </si>
  <si>
    <t xml:space="preserve"> 5.68(1.0)</t>
  </si>
  <si>
    <t>4.77(1.0)</t>
  </si>
  <si>
    <t xml:space="preserve"> 5.22(6)</t>
  </si>
  <si>
    <t xml:space="preserve"> 5.59(8)</t>
  </si>
  <si>
    <t xml:space="preserve"> 5.64(4)</t>
  </si>
  <si>
    <t>4.84(0.4)</t>
  </si>
  <si>
    <t xml:space="preserve"> 5.66(0.7)</t>
  </si>
  <si>
    <t>4.77(0.8)</t>
  </si>
  <si>
    <t>4.35(1.8)</t>
  </si>
  <si>
    <t xml:space="preserve"> 4.62(3)</t>
  </si>
  <si>
    <t xml:space="preserve"> 4.77(1.2)</t>
  </si>
  <si>
    <t xml:space="preserve"> 4.84(11)</t>
  </si>
  <si>
    <t xml:space="preserve"> 5.66(1.5)</t>
  </si>
  <si>
    <t>5.17(3)</t>
  </si>
  <si>
    <t xml:space="preserve"> 5.66(2)</t>
  </si>
  <si>
    <t>4.86(5)</t>
  </si>
  <si>
    <t xml:space="preserve"> 4.89(4)</t>
  </si>
  <si>
    <t xml:space="preserve"> 5.01(3)</t>
  </si>
  <si>
    <t xml:space="preserve"> 4.77(0.3)</t>
  </si>
  <si>
    <t xml:space="preserve"> 5.60(1.5)</t>
  </si>
  <si>
    <t xml:space="preserve"> 5.65(0.7)</t>
  </si>
  <si>
    <t xml:space="preserve"> 6.11(1.8)</t>
  </si>
  <si>
    <t xml:space="preserve"> 5.17(1.9)</t>
  </si>
  <si>
    <t xml:space="preserve"> 5.60(1.2)</t>
  </si>
  <si>
    <t xml:space="preserve"> 5.66(1.3)</t>
  </si>
  <si>
    <t xml:space="preserve"> 5.65(3)</t>
  </si>
  <si>
    <t xml:space="preserve"> 5.65(1.8)</t>
  </si>
  <si>
    <t xml:space="preserve"> 5.60(5)</t>
  </si>
  <si>
    <t xml:space="preserve"> 4.89(5)</t>
  </si>
  <si>
    <t xml:space="preserve"> 5.81(0.7)</t>
  </si>
  <si>
    <t xml:space="preserve"> 6.11(0.5)</t>
  </si>
  <si>
    <t>to_0</t>
  </si>
  <si>
    <t>to_1.22</t>
  </si>
  <si>
    <t>to_1.76</t>
  </si>
  <si>
    <t>to_2.65</t>
  </si>
  <si>
    <t>to_2.69</t>
  </si>
  <si>
    <t>to_3.00</t>
  </si>
  <si>
    <t>to_3.16</t>
  </si>
  <si>
    <t>to_4.180</t>
  </si>
  <si>
    <t>unknown</t>
  </si>
  <si>
    <t>1219.3±0.1</t>
  </si>
  <si>
    <t>1763.4±0.7</t>
  </si>
  <si>
    <t>&lt;0.2</t>
  </si>
  <si>
    <t>2644.7±1.3</t>
  </si>
  <si>
    <t>90.6±1.0</t>
  </si>
  <si>
    <t>&lt;2</t>
  </si>
  <si>
    <t>9.4±1.0</t>
  </si>
  <si>
    <t>2694.7±1.2</t>
  </si>
  <si>
    <t>79±2</t>
  </si>
  <si>
    <t>8.0±1.0</t>
  </si>
  <si>
    <t>13.0±1.0</t>
  </si>
  <si>
    <t>3003.7±0.8</t>
  </si>
  <si>
    <t>3163.9±0.7</t>
  </si>
  <si>
    <t>91±2</t>
  </si>
  <si>
    <t>8.9±2.0</t>
  </si>
  <si>
    <t>3920.7±1.3</t>
  </si>
  <si>
    <t>75±3</t>
  </si>
  <si>
    <t>25±3</t>
  </si>
  <si>
    <t>3944.1±1.1</t>
  </si>
  <si>
    <t>&lt;10</t>
  </si>
  <si>
    <t>&lt;6</t>
  </si>
  <si>
    <t>92±2</t>
  </si>
  <si>
    <t>8±2</t>
  </si>
  <si>
    <t>3979.0±1.5</t>
  </si>
  <si>
    <t>15±5</t>
  </si>
  <si>
    <t>83±5</t>
  </si>
  <si>
    <t>2.0±0.5</t>
  </si>
  <si>
    <t>4059.4±0.4</t>
  </si>
  <si>
    <t>94±2</t>
  </si>
  <si>
    <t>4.8±1.5</t>
  </si>
  <si>
    <t>&lt;1</t>
  </si>
  <si>
    <t>1.2±0.4</t>
  </si>
  <si>
    <t>4141.0±1.0</t>
  </si>
  <si>
    <t>56±7</t>
  </si>
  <si>
    <t>44±7</t>
  </si>
  <si>
    <t>4174.7±1.0</t>
  </si>
  <si>
    <t>60±10</t>
  </si>
  <si>
    <t>&lt;4</t>
  </si>
  <si>
    <t>25±8</t>
  </si>
  <si>
    <t>4180.1±1.5</t>
  </si>
  <si>
    <t>60±5</t>
  </si>
  <si>
    <t>30±5</t>
  </si>
  <si>
    <t>&lt;0.5</t>
  </si>
  <si>
    <t>10±3</t>
  </si>
  <si>
    <t>4347.2±1.2</t>
  </si>
  <si>
    <t>&lt;5</t>
  </si>
  <si>
    <t>28±5</t>
  </si>
  <si>
    <t>72±5</t>
  </si>
  <si>
    <t>4624.2±2.0</t>
  </si>
  <si>
    <t>85±10</t>
  </si>
  <si>
    <t>4766.9±1.5</t>
  </si>
  <si>
    <t>35±10</t>
  </si>
  <si>
    <t>65±10</t>
  </si>
  <si>
    <t>4841.7±1.9</t>
  </si>
  <si>
    <t>40±5</t>
  </si>
  <si>
    <t>&lt;7</t>
  </si>
  <si>
    <t>4855.7±1.9</t>
  </si>
  <si>
    <t>25±5</t>
  </si>
  <si>
    <t>75±5</t>
  </si>
  <si>
    <t>4885±2</t>
  </si>
  <si>
    <t>62±5</t>
  </si>
  <si>
    <t>29±5</t>
  </si>
  <si>
    <t>9±3</t>
  </si>
  <si>
    <t>5010.4±1.8</t>
  </si>
  <si>
    <t>5166.7±1.5</t>
  </si>
  <si>
    <t>44±5</t>
  </si>
  <si>
    <t>10±4</t>
  </si>
  <si>
    <t>36±5</t>
  </si>
  <si>
    <t>5216.2±1.5</t>
  </si>
  <si>
    <t>5403.6±1.0</t>
  </si>
  <si>
    <t>55±10</t>
  </si>
  <si>
    <t>5586±2</t>
  </si>
  <si>
    <t>40±10</t>
  </si>
  <si>
    <t>5600.1±1.5</t>
  </si>
  <si>
    <t>67±10</t>
  </si>
  <si>
    <t>33±10</t>
  </si>
  <si>
    <t>5646±2</t>
  </si>
  <si>
    <t>&lt;8</t>
  </si>
  <si>
    <t>5656±2</t>
  </si>
  <si>
    <t>6±2</t>
  </si>
  <si>
    <t>80±5</t>
  </si>
  <si>
    <t>5683±2</t>
  </si>
  <si>
    <t>5759±3</t>
  </si>
  <si>
    <t>45±10</t>
  </si>
  <si>
    <t>30±10</t>
  </si>
  <si>
    <t>5806±2</t>
  </si>
  <si>
    <t>6107.2±1.5</t>
  </si>
  <si>
    <t>58±10</t>
  </si>
  <si>
    <t>36±10</t>
  </si>
  <si>
    <t>6181±3</t>
  </si>
  <si>
    <t>6493±3</t>
  </si>
  <si>
    <t>Initial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</si>
</sst>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" fontId="3" fillId="0" borderId="0" xfId="0" applyNumberFormat="1" applyFont="1" applyBorder="1" applyAlignment="1">
      <alignment horizontal="left" vertical="center" shrinkToFit="1"/>
    </xf>
    <xf numFmtId="164" fontId="3" fillId="0" borderId="0" xfId="0" applyNumberFormat="1" applyFont="1" applyBorder="1" applyAlignment="1">
      <alignment horizontal="left" vertical="center" shrinkToFit="1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6B5C-AA69-404A-B3C6-7F8C1857F12A}">
  <dimension ref="A1:J85"/>
  <sheetViews>
    <sheetView workbookViewId="0">
      <selection activeCell="D46" sqref="D46"/>
    </sheetView>
  </sheetViews>
  <sheetFormatPr defaultRowHeight="14.4" x14ac:dyDescent="0.3"/>
  <cols>
    <col min="1" max="1" width="3" bestFit="1" customWidth="1"/>
    <col min="2" max="2" width="10.77734375" style="3" bestFit="1" customWidth="1"/>
    <col min="3" max="3" width="6.5546875" style="3" bestFit="1" customWidth="1"/>
    <col min="4" max="4" width="4" bestFit="1" customWidth="1"/>
    <col min="5" max="5" width="8" style="3" bestFit="1" customWidth="1"/>
    <col min="6" max="6" width="8" style="2" customWidth="1"/>
    <col min="8" max="8" width="7" style="3" bestFit="1" customWidth="1"/>
    <col min="9" max="10" width="8" bestFit="1" customWidth="1"/>
    <col min="11" max="11" width="7" bestFit="1" customWidth="1"/>
    <col min="12" max="12" width="7.33203125" bestFit="1" customWidth="1"/>
    <col min="13" max="13" width="2.33203125" bestFit="1" customWidth="1"/>
  </cols>
  <sheetData>
    <row r="1" spans="1:10" x14ac:dyDescent="0.3">
      <c r="A1" t="s">
        <v>0</v>
      </c>
      <c r="B1" s="3" t="s">
        <v>3</v>
      </c>
      <c r="C1" s="3" t="s">
        <v>1</v>
      </c>
      <c r="D1" t="s">
        <v>2</v>
      </c>
      <c r="E1" s="3" t="s">
        <v>4</v>
      </c>
      <c r="F1" s="2" t="s">
        <v>6</v>
      </c>
      <c r="I1" t="s">
        <v>5</v>
      </c>
    </row>
    <row r="2" spans="1:10" x14ac:dyDescent="0.3">
      <c r="A2">
        <v>1</v>
      </c>
      <c r="B2" s="3">
        <v>8270.1</v>
      </c>
      <c r="C2" s="3">
        <v>1954.4</v>
      </c>
      <c r="D2">
        <v>0.5</v>
      </c>
      <c r="E2" s="3">
        <v>0.6</v>
      </c>
      <c r="F2" s="2">
        <f t="shared" ref="F2:F33" si="0">E2*I2</f>
        <v>0.3</v>
      </c>
      <c r="H2" s="3">
        <v>0.6</v>
      </c>
      <c r="I2" s="4">
        <f t="shared" ref="I2:I33" si="1">IF(E2&lt;1,50%,20%)</f>
        <v>0.5</v>
      </c>
    </row>
    <row r="3" spans="1:10" x14ac:dyDescent="0.3">
      <c r="A3">
        <v>2</v>
      </c>
      <c r="B3" s="3">
        <v>8278.4</v>
      </c>
      <c r="C3" s="3">
        <v>1962.9</v>
      </c>
      <c r="D3">
        <v>0.5</v>
      </c>
      <c r="E3" s="3">
        <v>0.7</v>
      </c>
      <c r="F3" s="2">
        <f t="shared" si="0"/>
        <v>0.35</v>
      </c>
      <c r="H3" s="3">
        <v>0.7</v>
      </c>
      <c r="I3" s="4">
        <f t="shared" si="1"/>
        <v>0.5</v>
      </c>
    </row>
    <row r="4" spans="1:10" x14ac:dyDescent="0.3">
      <c r="A4">
        <v>3</v>
      </c>
      <c r="B4" s="3">
        <v>8283.2000000000007</v>
      </c>
      <c r="C4" s="3">
        <v>1967.9</v>
      </c>
      <c r="D4">
        <v>0.5</v>
      </c>
      <c r="E4" s="3">
        <v>0.4</v>
      </c>
      <c r="F4" s="2">
        <f t="shared" si="0"/>
        <v>0.2</v>
      </c>
      <c r="H4" s="3">
        <v>0.4</v>
      </c>
      <c r="I4" s="4">
        <f t="shared" si="1"/>
        <v>0.5</v>
      </c>
    </row>
    <row r="5" spans="1:10" x14ac:dyDescent="0.3">
      <c r="A5">
        <v>4</v>
      </c>
      <c r="B5" s="3">
        <v>8289.1</v>
      </c>
      <c r="C5" s="3">
        <v>1973.8</v>
      </c>
      <c r="D5">
        <v>0.3</v>
      </c>
      <c r="E5" s="3">
        <v>0.9</v>
      </c>
      <c r="F5" s="2">
        <f t="shared" si="0"/>
        <v>0.45</v>
      </c>
      <c r="H5" s="3">
        <v>0.9</v>
      </c>
      <c r="I5" s="4">
        <f t="shared" si="1"/>
        <v>0.5</v>
      </c>
    </row>
    <row r="6" spans="1:10" x14ac:dyDescent="0.3">
      <c r="A6">
        <v>5</v>
      </c>
      <c r="B6" s="3">
        <v>8298.7000000000007</v>
      </c>
      <c r="C6" s="3">
        <v>1983.7</v>
      </c>
      <c r="D6">
        <v>0.5</v>
      </c>
      <c r="E6" s="3">
        <v>0.6</v>
      </c>
      <c r="F6" s="2">
        <f t="shared" si="0"/>
        <v>0.3</v>
      </c>
      <c r="H6" s="3">
        <v>0.6</v>
      </c>
      <c r="I6" s="4">
        <f t="shared" si="1"/>
        <v>0.5</v>
      </c>
    </row>
    <row r="7" spans="1:10" x14ac:dyDescent="0.3">
      <c r="A7">
        <v>6</v>
      </c>
      <c r="B7" s="3">
        <v>8299.4</v>
      </c>
      <c r="C7" s="3">
        <v>1984.5</v>
      </c>
      <c r="D7">
        <v>0.5</v>
      </c>
      <c r="E7" s="3">
        <v>0.9</v>
      </c>
      <c r="F7" s="2">
        <f t="shared" si="0"/>
        <v>0.45</v>
      </c>
      <c r="H7" s="3">
        <v>0.9</v>
      </c>
      <c r="I7" s="4">
        <f t="shared" si="1"/>
        <v>0.5</v>
      </c>
    </row>
    <row r="8" spans="1:10" x14ac:dyDescent="0.3">
      <c r="A8">
        <v>7</v>
      </c>
      <c r="B8" s="3">
        <v>8319.5</v>
      </c>
      <c r="C8" s="3">
        <v>2005</v>
      </c>
      <c r="D8">
        <v>0.3</v>
      </c>
      <c r="E8" s="3">
        <v>2.7</v>
      </c>
      <c r="F8" s="2">
        <f t="shared" si="0"/>
        <v>0.54</v>
      </c>
      <c r="H8" s="3">
        <v>2.7</v>
      </c>
      <c r="I8" s="4">
        <f t="shared" si="1"/>
        <v>0.2</v>
      </c>
    </row>
    <row r="9" spans="1:10" x14ac:dyDescent="0.3">
      <c r="A9">
        <v>8</v>
      </c>
      <c r="B9" s="3">
        <v>8382.9</v>
      </c>
      <c r="C9" s="3">
        <v>2070.4</v>
      </c>
      <c r="D9">
        <v>0.5</v>
      </c>
      <c r="E9" s="3">
        <v>6.1</v>
      </c>
      <c r="F9" s="2">
        <f t="shared" si="0"/>
        <v>1.22</v>
      </c>
      <c r="H9" s="3">
        <v>6.1</v>
      </c>
      <c r="I9" s="4">
        <f t="shared" si="1"/>
        <v>0.2</v>
      </c>
    </row>
    <row r="10" spans="1:10" x14ac:dyDescent="0.3">
      <c r="A10">
        <v>9</v>
      </c>
      <c r="B10" s="3">
        <v>8389.1</v>
      </c>
      <c r="C10" s="3">
        <v>2076.9</v>
      </c>
      <c r="D10">
        <v>0.5</v>
      </c>
      <c r="E10" s="3">
        <v>0.4</v>
      </c>
      <c r="F10" s="2">
        <f t="shared" si="0"/>
        <v>0.2</v>
      </c>
      <c r="H10" s="3">
        <v>0.4</v>
      </c>
      <c r="I10" s="4">
        <f t="shared" si="1"/>
        <v>0.5</v>
      </c>
    </row>
    <row r="11" spans="1:10" x14ac:dyDescent="0.3">
      <c r="A11">
        <v>10</v>
      </c>
      <c r="B11" s="3">
        <v>8404.2000000000007</v>
      </c>
      <c r="C11" s="3">
        <v>2092.4</v>
      </c>
      <c r="D11">
        <v>0.5</v>
      </c>
      <c r="E11" s="3">
        <v>0.7</v>
      </c>
      <c r="F11" s="2">
        <f t="shared" si="0"/>
        <v>0.35</v>
      </c>
      <c r="H11" s="3">
        <v>0.7</v>
      </c>
      <c r="I11" s="4">
        <f t="shared" si="1"/>
        <v>0.5</v>
      </c>
    </row>
    <row r="12" spans="1:10" x14ac:dyDescent="0.3">
      <c r="A12">
        <v>11</v>
      </c>
      <c r="B12" s="3">
        <v>8405.7000000000007</v>
      </c>
      <c r="C12" s="3">
        <v>2093.9</v>
      </c>
      <c r="D12">
        <v>0.5</v>
      </c>
      <c r="E12" s="3">
        <v>2.2999999999999998</v>
      </c>
      <c r="F12" s="2">
        <f t="shared" si="0"/>
        <v>0.45999999999999996</v>
      </c>
      <c r="H12" s="3">
        <v>2.2999999999999998</v>
      </c>
      <c r="I12" s="4">
        <f t="shared" si="1"/>
        <v>0.2</v>
      </c>
    </row>
    <row r="13" spans="1:10" x14ac:dyDescent="0.3">
      <c r="A13">
        <v>12</v>
      </c>
      <c r="B13" s="3">
        <v>8409.2000000000007</v>
      </c>
      <c r="C13" s="3">
        <v>2097.5</v>
      </c>
      <c r="D13">
        <v>0.5</v>
      </c>
      <c r="E13" s="3">
        <v>1.4</v>
      </c>
      <c r="F13" s="2">
        <f t="shared" si="0"/>
        <v>0.27999999999999997</v>
      </c>
      <c r="H13" s="3">
        <v>1.4</v>
      </c>
      <c r="I13" s="4">
        <f t="shared" si="1"/>
        <v>0.2</v>
      </c>
    </row>
    <row r="14" spans="1:10" x14ac:dyDescent="0.3">
      <c r="A14">
        <v>13</v>
      </c>
      <c r="B14" s="3">
        <v>8418</v>
      </c>
      <c r="C14" s="3">
        <v>2106.6</v>
      </c>
      <c r="D14">
        <v>0.5</v>
      </c>
      <c r="E14" s="3">
        <v>0.5</v>
      </c>
      <c r="F14" s="2">
        <f t="shared" si="0"/>
        <v>0.25</v>
      </c>
      <c r="H14" s="3">
        <v>0.5</v>
      </c>
      <c r="I14" s="4">
        <f t="shared" si="1"/>
        <v>0.5</v>
      </c>
    </row>
    <row r="15" spans="1:10" x14ac:dyDescent="0.3">
      <c r="A15">
        <v>14</v>
      </c>
      <c r="B15" s="3">
        <v>8431.6</v>
      </c>
      <c r="C15" s="3">
        <v>2120.6</v>
      </c>
      <c r="D15">
        <v>0.5</v>
      </c>
      <c r="E15" s="3">
        <v>1</v>
      </c>
      <c r="F15" s="2">
        <f t="shared" si="0"/>
        <v>0.2</v>
      </c>
      <c r="H15" s="3">
        <v>1</v>
      </c>
      <c r="I15" s="4">
        <f t="shared" si="1"/>
        <v>0.2</v>
      </c>
    </row>
    <row r="16" spans="1:10" x14ac:dyDescent="0.3">
      <c r="A16">
        <v>15</v>
      </c>
      <c r="B16" s="3">
        <v>8436.1</v>
      </c>
      <c r="C16" s="3">
        <v>2125.1999999999998</v>
      </c>
      <c r="D16">
        <v>0.5</v>
      </c>
      <c r="E16" s="3">
        <v>0.5</v>
      </c>
      <c r="F16" s="2">
        <f t="shared" si="0"/>
        <v>0.25</v>
      </c>
      <c r="H16" s="3">
        <v>0.5</v>
      </c>
      <c r="I16" s="4">
        <f t="shared" si="1"/>
        <v>0.5</v>
      </c>
      <c r="J16" s="1"/>
    </row>
    <row r="17" spans="1:9" x14ac:dyDescent="0.3">
      <c r="A17">
        <v>16</v>
      </c>
      <c r="B17" s="3">
        <v>8465.6</v>
      </c>
      <c r="C17" s="3">
        <v>2155.6</v>
      </c>
      <c r="D17">
        <v>0.5</v>
      </c>
      <c r="E17" s="3">
        <v>0.9</v>
      </c>
      <c r="F17" s="2">
        <f t="shared" si="0"/>
        <v>0.45</v>
      </c>
      <c r="H17" s="3">
        <v>0.9</v>
      </c>
      <c r="I17" s="4">
        <f t="shared" si="1"/>
        <v>0.5</v>
      </c>
    </row>
    <row r="18" spans="1:9" x14ac:dyDescent="0.3">
      <c r="A18">
        <v>17</v>
      </c>
      <c r="B18" s="3">
        <v>8485.7999999999993</v>
      </c>
      <c r="C18" s="3">
        <v>2176.4</v>
      </c>
      <c r="D18">
        <v>0.5</v>
      </c>
      <c r="E18" s="3">
        <v>2.1</v>
      </c>
      <c r="F18" s="2">
        <f t="shared" si="0"/>
        <v>0.42000000000000004</v>
      </c>
      <c r="H18" s="3">
        <v>2.1</v>
      </c>
      <c r="I18" s="4">
        <f t="shared" si="1"/>
        <v>0.2</v>
      </c>
    </row>
    <row r="19" spans="1:9" x14ac:dyDescent="0.3">
      <c r="A19">
        <v>18</v>
      </c>
      <c r="B19" s="3">
        <v>8487.4</v>
      </c>
      <c r="C19" s="3">
        <v>2178</v>
      </c>
      <c r="D19">
        <v>0.5</v>
      </c>
      <c r="E19" s="3">
        <v>1.9</v>
      </c>
      <c r="F19" s="2">
        <f t="shared" si="0"/>
        <v>0.38</v>
      </c>
      <c r="H19" s="3">
        <v>1.9</v>
      </c>
      <c r="I19" s="4">
        <f t="shared" si="1"/>
        <v>0.2</v>
      </c>
    </row>
    <row r="20" spans="1:9" x14ac:dyDescent="0.3">
      <c r="A20">
        <v>19</v>
      </c>
      <c r="B20" s="3">
        <v>8507.9</v>
      </c>
      <c r="C20" s="3">
        <v>2199.1</v>
      </c>
      <c r="D20">
        <v>0.5</v>
      </c>
      <c r="E20" s="3">
        <v>0.3</v>
      </c>
      <c r="F20" s="2">
        <f t="shared" si="0"/>
        <v>0.15</v>
      </c>
      <c r="H20" s="3">
        <v>0.3</v>
      </c>
      <c r="I20" s="4">
        <f t="shared" si="1"/>
        <v>0.5</v>
      </c>
    </row>
    <row r="21" spans="1:9" x14ac:dyDescent="0.3">
      <c r="A21">
        <v>20</v>
      </c>
      <c r="B21" s="3">
        <v>8515.6</v>
      </c>
      <c r="C21" s="3">
        <v>2207.1</v>
      </c>
      <c r="D21">
        <v>0.5</v>
      </c>
      <c r="E21" s="3">
        <v>0.5</v>
      </c>
      <c r="F21" s="2">
        <f t="shared" si="0"/>
        <v>0.25</v>
      </c>
      <c r="H21" s="3">
        <v>0.5</v>
      </c>
      <c r="I21" s="4">
        <f t="shared" si="1"/>
        <v>0.5</v>
      </c>
    </row>
    <row r="22" spans="1:9" x14ac:dyDescent="0.3">
      <c r="A22">
        <v>21</v>
      </c>
      <c r="B22" s="3">
        <v>8535.2999999999993</v>
      </c>
      <c r="C22" s="3">
        <v>2227.3000000000002</v>
      </c>
      <c r="D22">
        <v>0.5</v>
      </c>
      <c r="E22" s="3">
        <v>0.1</v>
      </c>
      <c r="F22" s="2">
        <f t="shared" si="0"/>
        <v>0.05</v>
      </c>
      <c r="H22" s="3">
        <v>0.1</v>
      </c>
      <c r="I22" s="4">
        <f t="shared" si="1"/>
        <v>0.5</v>
      </c>
    </row>
    <row r="23" spans="1:9" x14ac:dyDescent="0.3">
      <c r="A23">
        <v>22</v>
      </c>
      <c r="B23" s="3">
        <v>8573.2000000000007</v>
      </c>
      <c r="C23" s="3">
        <v>2266.4</v>
      </c>
      <c r="D23">
        <v>0.5</v>
      </c>
      <c r="E23" s="3">
        <v>2.9</v>
      </c>
      <c r="F23" s="2">
        <f t="shared" si="0"/>
        <v>0.57999999999999996</v>
      </c>
      <c r="H23" s="3">
        <v>2.9</v>
      </c>
      <c r="I23" s="4">
        <f t="shared" si="1"/>
        <v>0.2</v>
      </c>
    </row>
    <row r="24" spans="1:9" x14ac:dyDescent="0.3">
      <c r="A24">
        <v>23</v>
      </c>
      <c r="B24" s="3">
        <v>8581.9</v>
      </c>
      <c r="C24" s="3">
        <v>2275.3000000000002</v>
      </c>
      <c r="D24">
        <v>0.5</v>
      </c>
      <c r="E24" s="3">
        <v>1</v>
      </c>
      <c r="F24" s="2">
        <f t="shared" si="0"/>
        <v>0.2</v>
      </c>
      <c r="H24" s="3">
        <v>1</v>
      </c>
      <c r="I24" s="4">
        <f t="shared" si="1"/>
        <v>0.2</v>
      </c>
    </row>
    <row r="25" spans="1:9" x14ac:dyDescent="0.3">
      <c r="A25">
        <v>24</v>
      </c>
      <c r="B25" s="3">
        <v>8587.1</v>
      </c>
      <c r="C25" s="3">
        <v>2280.6999999999998</v>
      </c>
      <c r="D25">
        <v>0.5</v>
      </c>
      <c r="E25" s="3">
        <v>0.1</v>
      </c>
      <c r="F25" s="2">
        <f t="shared" si="0"/>
        <v>0.05</v>
      </c>
      <c r="H25" s="3">
        <v>0.1</v>
      </c>
      <c r="I25" s="4">
        <f t="shared" si="1"/>
        <v>0.5</v>
      </c>
    </row>
    <row r="26" spans="1:9" x14ac:dyDescent="0.3">
      <c r="A26">
        <v>25</v>
      </c>
      <c r="B26" s="3">
        <v>8591.2999999999993</v>
      </c>
      <c r="C26" s="3">
        <v>2285</v>
      </c>
      <c r="D26">
        <v>0.5</v>
      </c>
      <c r="E26" s="3">
        <v>0.7</v>
      </c>
      <c r="F26" s="2">
        <f t="shared" si="0"/>
        <v>0.35</v>
      </c>
      <c r="H26" s="3">
        <v>0.7</v>
      </c>
      <c r="I26" s="4">
        <f t="shared" si="1"/>
        <v>0.5</v>
      </c>
    </row>
    <row r="27" spans="1:9" x14ac:dyDescent="0.3">
      <c r="A27">
        <v>26</v>
      </c>
      <c r="B27" s="3">
        <v>8613.4</v>
      </c>
      <c r="C27" s="3">
        <v>2307.6999999999998</v>
      </c>
      <c r="D27">
        <v>0.5</v>
      </c>
      <c r="E27" s="3">
        <v>1</v>
      </c>
      <c r="F27" s="2">
        <f t="shared" si="0"/>
        <v>0.2</v>
      </c>
      <c r="H27" s="3">
        <v>1</v>
      </c>
      <c r="I27" s="4">
        <f t="shared" si="1"/>
        <v>0.2</v>
      </c>
    </row>
    <row r="28" spans="1:9" x14ac:dyDescent="0.3">
      <c r="A28">
        <v>27</v>
      </c>
      <c r="B28" s="3">
        <v>8615</v>
      </c>
      <c r="C28" s="3">
        <v>2309.4</v>
      </c>
      <c r="D28">
        <v>0.5</v>
      </c>
      <c r="E28" s="3">
        <v>2.4</v>
      </c>
      <c r="F28" s="2">
        <f t="shared" si="0"/>
        <v>0.48</v>
      </c>
      <c r="H28" s="3">
        <v>2.4</v>
      </c>
      <c r="I28" s="4">
        <f t="shared" si="1"/>
        <v>0.2</v>
      </c>
    </row>
    <row r="29" spans="1:9" x14ac:dyDescent="0.3">
      <c r="A29">
        <v>28</v>
      </c>
      <c r="B29" s="3">
        <v>8619.5</v>
      </c>
      <c r="C29" s="3">
        <v>2314</v>
      </c>
      <c r="D29">
        <v>0.5</v>
      </c>
      <c r="E29" s="3">
        <v>3.8</v>
      </c>
      <c r="F29" s="2">
        <f t="shared" si="0"/>
        <v>0.76</v>
      </c>
      <c r="H29" s="3">
        <v>3.8</v>
      </c>
      <c r="I29" s="4">
        <f t="shared" si="1"/>
        <v>0.2</v>
      </c>
    </row>
    <row r="30" spans="1:9" x14ac:dyDescent="0.3">
      <c r="A30">
        <v>29</v>
      </c>
      <c r="B30" s="3">
        <v>8631.4</v>
      </c>
      <c r="C30" s="3">
        <v>2326.3000000000002</v>
      </c>
      <c r="D30">
        <v>0.3</v>
      </c>
      <c r="E30" s="3">
        <v>2.7</v>
      </c>
      <c r="F30" s="2">
        <f t="shared" si="0"/>
        <v>0.54</v>
      </c>
      <c r="H30" s="3">
        <v>2.7</v>
      </c>
      <c r="I30" s="4">
        <f t="shared" si="1"/>
        <v>0.2</v>
      </c>
    </row>
    <row r="31" spans="1:9" x14ac:dyDescent="0.3">
      <c r="A31">
        <v>30</v>
      </c>
      <c r="B31" s="3">
        <v>8642.7999999999993</v>
      </c>
      <c r="C31" s="3">
        <v>2338</v>
      </c>
      <c r="D31">
        <v>0.5</v>
      </c>
      <c r="E31" s="3">
        <v>0.9</v>
      </c>
      <c r="F31" s="2">
        <f t="shared" si="0"/>
        <v>0.45</v>
      </c>
      <c r="H31" s="3">
        <v>0.9</v>
      </c>
      <c r="I31" s="4">
        <f t="shared" si="1"/>
        <v>0.5</v>
      </c>
    </row>
    <row r="32" spans="1:9" x14ac:dyDescent="0.3">
      <c r="A32">
        <v>31</v>
      </c>
      <c r="B32" s="3">
        <v>8687.6</v>
      </c>
      <c r="C32" s="3">
        <v>2384.1</v>
      </c>
      <c r="D32">
        <v>0.5</v>
      </c>
      <c r="E32" s="3">
        <v>2.2000000000000002</v>
      </c>
      <c r="F32" s="2">
        <f t="shared" si="0"/>
        <v>0.44000000000000006</v>
      </c>
      <c r="H32" s="3">
        <v>2.2000000000000002</v>
      </c>
      <c r="I32" s="4">
        <f t="shared" si="1"/>
        <v>0.2</v>
      </c>
    </row>
    <row r="33" spans="1:9" x14ac:dyDescent="0.3">
      <c r="A33">
        <v>32</v>
      </c>
      <c r="B33" s="3">
        <v>8689.7000000000007</v>
      </c>
      <c r="C33" s="3">
        <v>2386.3000000000002</v>
      </c>
      <c r="D33">
        <v>0.5</v>
      </c>
      <c r="E33" s="3">
        <v>0.7</v>
      </c>
      <c r="F33" s="2">
        <f t="shared" si="0"/>
        <v>0.35</v>
      </c>
      <c r="H33" s="3">
        <v>0.7</v>
      </c>
      <c r="I33" s="4">
        <f t="shared" si="1"/>
        <v>0.5</v>
      </c>
    </row>
    <row r="34" spans="1:9" x14ac:dyDescent="0.3">
      <c r="A34">
        <v>33</v>
      </c>
      <c r="B34" s="3">
        <v>8698.2999999999993</v>
      </c>
      <c r="C34" s="3">
        <v>2395.1</v>
      </c>
      <c r="D34">
        <v>0.5</v>
      </c>
      <c r="E34" s="3">
        <v>0.6</v>
      </c>
      <c r="F34" s="2">
        <f t="shared" ref="F34:F65" si="2">E34*I34</f>
        <v>0.3</v>
      </c>
      <c r="H34" s="3">
        <v>0.6</v>
      </c>
      <c r="I34" s="4">
        <f t="shared" ref="I34:I65" si="3">IF(E34&lt;1,50%,20%)</f>
        <v>0.5</v>
      </c>
    </row>
    <row r="35" spans="1:9" x14ac:dyDescent="0.3">
      <c r="A35">
        <v>34</v>
      </c>
      <c r="B35" s="3">
        <v>8707.7000000000007</v>
      </c>
      <c r="C35" s="3">
        <v>2404.8000000000002</v>
      </c>
      <c r="D35">
        <v>0.5</v>
      </c>
      <c r="E35" s="3">
        <v>0.2</v>
      </c>
      <c r="F35" s="2">
        <f t="shared" si="2"/>
        <v>0.1</v>
      </c>
      <c r="H35" s="3">
        <v>0.2</v>
      </c>
      <c r="I35" s="4">
        <f t="shared" si="3"/>
        <v>0.5</v>
      </c>
    </row>
    <row r="36" spans="1:9" x14ac:dyDescent="0.3">
      <c r="A36">
        <v>35</v>
      </c>
      <c r="B36" s="3">
        <v>8719</v>
      </c>
      <c r="C36" s="3">
        <v>2416.5</v>
      </c>
      <c r="D36">
        <v>0.5</v>
      </c>
      <c r="E36" s="3">
        <v>0.5</v>
      </c>
      <c r="F36" s="2">
        <f t="shared" si="2"/>
        <v>0.25</v>
      </c>
      <c r="H36" s="3">
        <v>0.5</v>
      </c>
      <c r="I36" s="4">
        <f t="shared" si="3"/>
        <v>0.5</v>
      </c>
    </row>
    <row r="37" spans="1:9" x14ac:dyDescent="0.3">
      <c r="A37">
        <v>36</v>
      </c>
      <c r="B37" s="3">
        <v>8752.2999999999993</v>
      </c>
      <c r="C37" s="3">
        <v>2450.6999999999998</v>
      </c>
      <c r="D37">
        <v>0.5</v>
      </c>
      <c r="E37" s="3">
        <v>1.7</v>
      </c>
      <c r="F37" s="2">
        <f t="shared" si="2"/>
        <v>0.34</v>
      </c>
      <c r="H37" s="3">
        <v>1.7</v>
      </c>
      <c r="I37" s="4">
        <f t="shared" si="3"/>
        <v>0.2</v>
      </c>
    </row>
    <row r="38" spans="1:9" x14ac:dyDescent="0.3">
      <c r="A38">
        <v>37</v>
      </c>
      <c r="B38" s="3">
        <v>8768.4</v>
      </c>
      <c r="C38" s="3">
        <v>2467.3000000000002</v>
      </c>
      <c r="D38">
        <v>0.5</v>
      </c>
      <c r="E38" s="3">
        <v>0.3</v>
      </c>
      <c r="F38" s="2">
        <f t="shared" si="2"/>
        <v>0.15</v>
      </c>
      <c r="H38" s="3">
        <v>0.3</v>
      </c>
      <c r="I38" s="4">
        <f t="shared" si="3"/>
        <v>0.5</v>
      </c>
    </row>
    <row r="39" spans="1:9" x14ac:dyDescent="0.3">
      <c r="A39">
        <v>38</v>
      </c>
      <c r="B39" s="3">
        <v>8774.4</v>
      </c>
      <c r="C39" s="3">
        <v>2473.4</v>
      </c>
      <c r="D39">
        <v>0.5</v>
      </c>
      <c r="E39" s="3">
        <v>0.6</v>
      </c>
      <c r="F39" s="2">
        <f t="shared" si="2"/>
        <v>0.3</v>
      </c>
      <c r="H39" s="3">
        <v>0.6</v>
      </c>
      <c r="I39" s="4">
        <f t="shared" si="3"/>
        <v>0.5</v>
      </c>
    </row>
    <row r="40" spans="1:9" x14ac:dyDescent="0.3">
      <c r="A40">
        <v>39</v>
      </c>
      <c r="B40" s="3">
        <v>8781.2000000000007</v>
      </c>
      <c r="C40" s="3">
        <v>2480.5</v>
      </c>
      <c r="D40">
        <v>0.5</v>
      </c>
      <c r="E40" s="3">
        <v>1.7</v>
      </c>
      <c r="F40" s="2">
        <f t="shared" si="2"/>
        <v>0.34</v>
      </c>
      <c r="H40" s="3">
        <v>1.7</v>
      </c>
      <c r="I40" s="4">
        <f t="shared" si="3"/>
        <v>0.2</v>
      </c>
    </row>
    <row r="41" spans="1:9" x14ac:dyDescent="0.3">
      <c r="A41">
        <v>40</v>
      </c>
      <c r="B41" s="3">
        <v>8788.6</v>
      </c>
      <c r="C41" s="3">
        <v>2488.1</v>
      </c>
      <c r="D41">
        <v>0.5</v>
      </c>
      <c r="E41" s="3">
        <v>1.2</v>
      </c>
      <c r="F41" s="2">
        <f t="shared" si="2"/>
        <v>0.24</v>
      </c>
      <c r="H41" s="3">
        <v>1.2</v>
      </c>
      <c r="I41" s="4">
        <f t="shared" si="3"/>
        <v>0.2</v>
      </c>
    </row>
    <row r="42" spans="1:9" x14ac:dyDescent="0.3">
      <c r="A42">
        <v>41</v>
      </c>
      <c r="B42" s="3">
        <v>8799.7999999999993</v>
      </c>
      <c r="C42" s="3">
        <v>2499.6</v>
      </c>
      <c r="D42">
        <v>0.5</v>
      </c>
      <c r="E42" s="3">
        <v>1.7</v>
      </c>
      <c r="F42" s="2">
        <f t="shared" si="2"/>
        <v>0.34</v>
      </c>
      <c r="H42" s="3">
        <v>1.7</v>
      </c>
      <c r="I42" s="4">
        <f t="shared" si="3"/>
        <v>0.2</v>
      </c>
    </row>
    <row r="43" spans="1:9" x14ac:dyDescent="0.3">
      <c r="A43">
        <v>42</v>
      </c>
      <c r="B43" s="3">
        <v>8822.4</v>
      </c>
      <c r="C43" s="3">
        <v>2522.8000000000002</v>
      </c>
      <c r="D43">
        <v>0.5</v>
      </c>
      <c r="E43" s="3">
        <v>0.7</v>
      </c>
      <c r="F43" s="2">
        <f t="shared" si="2"/>
        <v>0.35</v>
      </c>
      <c r="H43" s="3">
        <v>0.7</v>
      </c>
      <c r="I43" s="4">
        <f t="shared" si="3"/>
        <v>0.5</v>
      </c>
    </row>
    <row r="44" spans="1:9" x14ac:dyDescent="0.3">
      <c r="A44">
        <v>43</v>
      </c>
      <c r="B44" s="3">
        <v>8825.7000000000007</v>
      </c>
      <c r="C44" s="3">
        <v>2526.1999999999998</v>
      </c>
      <c r="D44">
        <v>0.5</v>
      </c>
      <c r="E44" s="3">
        <v>3.7</v>
      </c>
      <c r="F44" s="2">
        <f t="shared" si="2"/>
        <v>0.7400000000000001</v>
      </c>
      <c r="H44" s="3">
        <v>3.7</v>
      </c>
      <c r="I44" s="4">
        <f t="shared" si="3"/>
        <v>0.2</v>
      </c>
    </row>
    <row r="45" spans="1:9" x14ac:dyDescent="0.3">
      <c r="A45">
        <v>44</v>
      </c>
      <c r="B45" s="3">
        <v>8830.6</v>
      </c>
      <c r="C45" s="3">
        <v>2531.4</v>
      </c>
      <c r="D45">
        <v>0.5</v>
      </c>
      <c r="E45" s="3">
        <v>2.1</v>
      </c>
      <c r="F45" s="2">
        <f t="shared" si="2"/>
        <v>0.42000000000000004</v>
      </c>
      <c r="H45" s="3">
        <v>2.1</v>
      </c>
      <c r="I45" s="4">
        <f t="shared" si="3"/>
        <v>0.2</v>
      </c>
    </row>
    <row r="46" spans="1:9" x14ac:dyDescent="0.3">
      <c r="A46">
        <v>45</v>
      </c>
      <c r="B46" s="3">
        <v>8834.5</v>
      </c>
      <c r="C46" s="3">
        <v>2535.3000000000002</v>
      </c>
      <c r="D46">
        <v>0.5</v>
      </c>
      <c r="E46" s="3">
        <v>0.7</v>
      </c>
      <c r="F46" s="2">
        <f t="shared" si="2"/>
        <v>0.35</v>
      </c>
      <c r="H46" s="3">
        <v>0.7</v>
      </c>
      <c r="I46" s="4">
        <f t="shared" si="3"/>
        <v>0.5</v>
      </c>
    </row>
    <row r="47" spans="1:9" x14ac:dyDescent="0.3">
      <c r="A47">
        <v>46</v>
      </c>
      <c r="B47" s="3">
        <v>8839.5</v>
      </c>
      <c r="C47" s="3">
        <v>2540.5</v>
      </c>
      <c r="D47">
        <v>0.5</v>
      </c>
      <c r="E47" s="3">
        <v>1.5</v>
      </c>
      <c r="F47" s="2">
        <f t="shared" si="2"/>
        <v>0.30000000000000004</v>
      </c>
      <c r="H47" s="3">
        <v>1.5</v>
      </c>
      <c r="I47" s="4">
        <f t="shared" si="3"/>
        <v>0.2</v>
      </c>
    </row>
    <row r="48" spans="1:9" x14ac:dyDescent="0.3">
      <c r="A48">
        <v>47</v>
      </c>
      <c r="B48" s="3">
        <v>8857.5</v>
      </c>
      <c r="C48" s="3">
        <v>2559</v>
      </c>
      <c r="D48">
        <v>0.5</v>
      </c>
      <c r="E48" s="3">
        <v>4.5999999999999996</v>
      </c>
      <c r="F48" s="2">
        <f t="shared" si="2"/>
        <v>0.91999999999999993</v>
      </c>
      <c r="H48" s="3">
        <v>4.5999999999999996</v>
      </c>
      <c r="I48" s="4">
        <f t="shared" si="3"/>
        <v>0.2</v>
      </c>
    </row>
    <row r="49" spans="1:9" x14ac:dyDescent="0.3">
      <c r="A49">
        <v>48</v>
      </c>
      <c r="B49" s="3">
        <v>8870</v>
      </c>
      <c r="C49" s="3">
        <v>2571.9</v>
      </c>
      <c r="D49">
        <v>0.5</v>
      </c>
      <c r="E49" s="3">
        <v>1</v>
      </c>
      <c r="F49" s="2">
        <f t="shared" si="2"/>
        <v>0.2</v>
      </c>
      <c r="H49" s="3">
        <v>1</v>
      </c>
      <c r="I49" s="4">
        <f t="shared" si="3"/>
        <v>0.2</v>
      </c>
    </row>
    <row r="50" spans="1:9" x14ac:dyDescent="0.3">
      <c r="A50">
        <v>49</v>
      </c>
      <c r="B50" s="3">
        <v>8885.6</v>
      </c>
      <c r="C50" s="3">
        <v>2587.9</v>
      </c>
      <c r="D50">
        <v>0.5</v>
      </c>
      <c r="E50" s="3">
        <v>0.4</v>
      </c>
      <c r="F50" s="2">
        <f t="shared" si="2"/>
        <v>0.2</v>
      </c>
      <c r="H50" s="3">
        <v>0.4</v>
      </c>
      <c r="I50" s="4">
        <f t="shared" si="3"/>
        <v>0.5</v>
      </c>
    </row>
    <row r="51" spans="1:9" x14ac:dyDescent="0.3">
      <c r="A51">
        <v>50</v>
      </c>
      <c r="B51" s="3">
        <v>8887.5</v>
      </c>
      <c r="C51" s="3">
        <v>2589.9</v>
      </c>
      <c r="D51">
        <v>0.5</v>
      </c>
      <c r="E51" s="3">
        <v>1.4</v>
      </c>
      <c r="F51" s="2">
        <f t="shared" si="2"/>
        <v>0.27999999999999997</v>
      </c>
      <c r="H51" s="3">
        <v>1.4</v>
      </c>
      <c r="I51" s="4">
        <f t="shared" si="3"/>
        <v>0.2</v>
      </c>
    </row>
    <row r="52" spans="1:9" x14ac:dyDescent="0.3">
      <c r="A52">
        <v>51</v>
      </c>
      <c r="B52" s="3">
        <v>8894.7999999999993</v>
      </c>
      <c r="C52" s="3">
        <v>2597.4</v>
      </c>
      <c r="D52">
        <v>0.5</v>
      </c>
      <c r="E52" s="3">
        <v>1.2</v>
      </c>
      <c r="F52" s="2">
        <f t="shared" si="2"/>
        <v>0.24</v>
      </c>
      <c r="H52" s="3">
        <v>1.2</v>
      </c>
      <c r="I52" s="4">
        <f t="shared" si="3"/>
        <v>0.2</v>
      </c>
    </row>
    <row r="53" spans="1:9" x14ac:dyDescent="0.3">
      <c r="A53">
        <v>52</v>
      </c>
      <c r="B53" s="3">
        <v>8906.2999999999993</v>
      </c>
      <c r="C53" s="3">
        <v>2609.1999999999998</v>
      </c>
      <c r="D53">
        <v>0.5</v>
      </c>
      <c r="E53" s="3">
        <v>1</v>
      </c>
      <c r="F53" s="2">
        <f t="shared" si="2"/>
        <v>0.2</v>
      </c>
      <c r="H53" s="3">
        <v>1</v>
      </c>
      <c r="I53" s="4">
        <f t="shared" si="3"/>
        <v>0.2</v>
      </c>
    </row>
    <row r="54" spans="1:9" x14ac:dyDescent="0.3">
      <c r="A54">
        <v>53</v>
      </c>
      <c r="B54" s="3">
        <v>8908.2999999999993</v>
      </c>
      <c r="C54" s="3">
        <v>2611.3000000000002</v>
      </c>
      <c r="D54">
        <v>0.5</v>
      </c>
      <c r="E54" s="3">
        <v>1.5</v>
      </c>
      <c r="F54" s="2">
        <f t="shared" si="2"/>
        <v>0.30000000000000004</v>
      </c>
      <c r="H54" s="3">
        <v>1.5</v>
      </c>
      <c r="I54" s="4">
        <f t="shared" si="3"/>
        <v>0.2</v>
      </c>
    </row>
    <row r="55" spans="1:9" x14ac:dyDescent="0.3">
      <c r="A55">
        <v>54</v>
      </c>
      <c r="B55" s="3">
        <v>8921.2000000000007</v>
      </c>
      <c r="C55" s="3">
        <v>2624.6</v>
      </c>
      <c r="D55">
        <v>0.5</v>
      </c>
      <c r="E55" s="3">
        <v>1.1000000000000001</v>
      </c>
      <c r="F55" s="2">
        <f t="shared" si="2"/>
        <v>0.22000000000000003</v>
      </c>
      <c r="H55" s="3">
        <v>1.1000000000000001</v>
      </c>
      <c r="I55" s="4">
        <f t="shared" si="3"/>
        <v>0.2</v>
      </c>
    </row>
    <row r="56" spans="1:9" x14ac:dyDescent="0.3">
      <c r="A56">
        <v>55</v>
      </c>
      <c r="B56" s="3">
        <v>8934.7000000000007</v>
      </c>
      <c r="C56" s="3">
        <v>2638.5</v>
      </c>
      <c r="D56">
        <v>0.5</v>
      </c>
      <c r="E56" s="3">
        <v>1</v>
      </c>
      <c r="F56" s="2">
        <f t="shared" si="2"/>
        <v>0.2</v>
      </c>
      <c r="H56" s="3">
        <v>1</v>
      </c>
      <c r="I56" s="4">
        <f t="shared" si="3"/>
        <v>0.2</v>
      </c>
    </row>
    <row r="57" spans="1:9" x14ac:dyDescent="0.3">
      <c r="A57">
        <v>56</v>
      </c>
      <c r="B57" s="3">
        <v>8954.4</v>
      </c>
      <c r="C57" s="3">
        <v>2658.8</v>
      </c>
      <c r="D57">
        <v>0.5</v>
      </c>
      <c r="E57" s="3">
        <v>2.4</v>
      </c>
      <c r="F57" s="2">
        <f t="shared" si="2"/>
        <v>0.48</v>
      </c>
      <c r="H57" s="3">
        <v>2.4</v>
      </c>
      <c r="I57" s="4">
        <f t="shared" si="3"/>
        <v>0.2</v>
      </c>
    </row>
    <row r="58" spans="1:9" x14ac:dyDescent="0.3">
      <c r="A58">
        <v>57</v>
      </c>
      <c r="B58" s="3">
        <v>8959.2999999999993</v>
      </c>
      <c r="C58" s="3">
        <v>2663.8</v>
      </c>
      <c r="D58">
        <v>0.5</v>
      </c>
      <c r="E58" s="3">
        <v>1.2</v>
      </c>
      <c r="F58" s="2">
        <f t="shared" si="2"/>
        <v>0.24</v>
      </c>
      <c r="H58" s="3">
        <v>1.2</v>
      </c>
      <c r="I58" s="4">
        <f t="shared" si="3"/>
        <v>0.2</v>
      </c>
    </row>
    <row r="59" spans="1:9" x14ac:dyDescent="0.3">
      <c r="A59">
        <v>58</v>
      </c>
      <c r="B59" s="3">
        <v>8983.4</v>
      </c>
      <c r="C59" s="3">
        <v>2688.6</v>
      </c>
      <c r="D59">
        <v>0.5</v>
      </c>
      <c r="E59" s="3">
        <v>2.2000000000000002</v>
      </c>
      <c r="F59" s="2">
        <f t="shared" si="2"/>
        <v>0.44000000000000006</v>
      </c>
      <c r="H59" s="3">
        <v>2.2000000000000002</v>
      </c>
      <c r="I59" s="4">
        <f t="shared" si="3"/>
        <v>0.2</v>
      </c>
    </row>
    <row r="60" spans="1:9" x14ac:dyDescent="0.3">
      <c r="A60">
        <v>59</v>
      </c>
      <c r="B60" s="3">
        <v>8985.7000000000007</v>
      </c>
      <c r="C60" s="3">
        <v>2690.9</v>
      </c>
      <c r="D60">
        <v>0.5</v>
      </c>
      <c r="E60" s="3">
        <v>0.6</v>
      </c>
      <c r="F60" s="2">
        <f t="shared" si="2"/>
        <v>0.3</v>
      </c>
      <c r="H60" s="3">
        <v>0.6</v>
      </c>
      <c r="I60" s="4">
        <f t="shared" si="3"/>
        <v>0.5</v>
      </c>
    </row>
    <row r="61" spans="1:9" x14ac:dyDescent="0.3">
      <c r="A61">
        <v>60</v>
      </c>
      <c r="B61" s="3">
        <v>8989.9</v>
      </c>
      <c r="C61" s="3">
        <v>2695.3</v>
      </c>
      <c r="D61">
        <v>0.5</v>
      </c>
      <c r="E61" s="3">
        <v>0.7</v>
      </c>
      <c r="F61" s="2">
        <f t="shared" si="2"/>
        <v>0.35</v>
      </c>
      <c r="H61" s="3">
        <v>0.7</v>
      </c>
      <c r="I61" s="4">
        <f t="shared" si="3"/>
        <v>0.5</v>
      </c>
    </row>
    <row r="62" spans="1:9" x14ac:dyDescent="0.3">
      <c r="A62">
        <v>61</v>
      </c>
      <c r="B62" s="3">
        <v>8993.9</v>
      </c>
      <c r="C62" s="3">
        <v>2699.4</v>
      </c>
      <c r="D62">
        <v>0.5</v>
      </c>
      <c r="E62" s="3">
        <v>2.2999999999999998</v>
      </c>
      <c r="F62" s="2">
        <f t="shared" si="2"/>
        <v>0.45999999999999996</v>
      </c>
      <c r="H62" s="3">
        <v>2.2999999999999998</v>
      </c>
      <c r="I62" s="4">
        <f t="shared" si="3"/>
        <v>0.2</v>
      </c>
    </row>
    <row r="63" spans="1:9" x14ac:dyDescent="0.3">
      <c r="A63">
        <v>62</v>
      </c>
      <c r="B63" s="3">
        <v>8998.2000000000007</v>
      </c>
      <c r="C63" s="3">
        <v>2703.8</v>
      </c>
      <c r="D63">
        <v>0.5</v>
      </c>
      <c r="E63" s="3">
        <v>1.7</v>
      </c>
      <c r="F63" s="2">
        <f t="shared" si="2"/>
        <v>0.34</v>
      </c>
      <c r="H63" s="3">
        <v>1.7</v>
      </c>
      <c r="I63" s="4">
        <f t="shared" si="3"/>
        <v>0.2</v>
      </c>
    </row>
    <row r="64" spans="1:9" x14ac:dyDescent="0.3">
      <c r="A64">
        <v>63</v>
      </c>
      <c r="B64" s="3">
        <v>9002.5</v>
      </c>
      <c r="C64" s="3">
        <v>2708.3</v>
      </c>
      <c r="D64">
        <v>0.5</v>
      </c>
      <c r="E64" s="3">
        <v>0.6</v>
      </c>
      <c r="F64" s="2">
        <f t="shared" si="2"/>
        <v>0.3</v>
      </c>
      <c r="H64" s="3">
        <v>0.6</v>
      </c>
      <c r="I64" s="4">
        <f t="shared" si="3"/>
        <v>0.5</v>
      </c>
    </row>
    <row r="65" spans="1:9" x14ac:dyDescent="0.3">
      <c r="A65">
        <v>64</v>
      </c>
      <c r="B65" s="3">
        <v>9020.7999999999993</v>
      </c>
      <c r="C65" s="3">
        <v>2727.1</v>
      </c>
      <c r="D65">
        <v>0.5</v>
      </c>
      <c r="E65" s="3">
        <v>0.8</v>
      </c>
      <c r="F65" s="2">
        <f t="shared" si="2"/>
        <v>0.4</v>
      </c>
      <c r="H65" s="3">
        <v>0.8</v>
      </c>
      <c r="I65" s="4">
        <f t="shared" si="3"/>
        <v>0.5</v>
      </c>
    </row>
    <row r="66" spans="1:9" x14ac:dyDescent="0.3">
      <c r="A66">
        <v>65</v>
      </c>
      <c r="B66" s="3">
        <v>9025.9</v>
      </c>
      <c r="C66" s="3">
        <v>2732.4</v>
      </c>
      <c r="D66">
        <v>0.5</v>
      </c>
      <c r="E66" s="3">
        <v>1.1000000000000001</v>
      </c>
      <c r="F66" s="2">
        <f t="shared" ref="F66:F85" si="4">E66*I66</f>
        <v>0.22000000000000003</v>
      </c>
      <c r="H66" s="3">
        <v>1.1000000000000001</v>
      </c>
      <c r="I66" s="4">
        <f t="shared" ref="I66:I85" si="5">IF(E66&lt;1,50%,20%)</f>
        <v>0.2</v>
      </c>
    </row>
    <row r="67" spans="1:9" x14ac:dyDescent="0.3">
      <c r="A67">
        <v>66</v>
      </c>
      <c r="B67" s="3">
        <v>9031.4</v>
      </c>
      <c r="C67" s="3">
        <v>2738</v>
      </c>
      <c r="D67">
        <v>0.5</v>
      </c>
      <c r="E67" s="3">
        <v>2.6</v>
      </c>
      <c r="F67" s="2">
        <f t="shared" si="4"/>
        <v>0.52</v>
      </c>
      <c r="H67" s="3">
        <v>2.6</v>
      </c>
      <c r="I67" s="4">
        <f t="shared" si="5"/>
        <v>0.2</v>
      </c>
    </row>
    <row r="68" spans="1:9" x14ac:dyDescent="0.3">
      <c r="A68">
        <v>67</v>
      </c>
      <c r="B68" s="3">
        <v>9034.5</v>
      </c>
      <c r="C68" s="3">
        <v>2741.3</v>
      </c>
      <c r="D68">
        <v>0.5</v>
      </c>
      <c r="E68" s="3">
        <v>0.4</v>
      </c>
      <c r="F68" s="2">
        <f t="shared" si="4"/>
        <v>0.2</v>
      </c>
      <c r="H68" s="3">
        <v>0.4</v>
      </c>
      <c r="I68" s="4">
        <f t="shared" si="5"/>
        <v>0.5</v>
      </c>
    </row>
    <row r="69" spans="1:9" x14ac:dyDescent="0.3">
      <c r="A69">
        <v>68</v>
      </c>
      <c r="B69" s="3">
        <v>9039.7000000000007</v>
      </c>
      <c r="C69" s="3">
        <v>2746.6</v>
      </c>
      <c r="D69">
        <v>0.5</v>
      </c>
      <c r="E69" s="3">
        <v>0.8</v>
      </c>
      <c r="F69" s="2">
        <f t="shared" si="4"/>
        <v>0.4</v>
      </c>
      <c r="H69" s="3">
        <v>0.8</v>
      </c>
      <c r="I69" s="4">
        <f t="shared" si="5"/>
        <v>0.5</v>
      </c>
    </row>
    <row r="70" spans="1:9" x14ac:dyDescent="0.3">
      <c r="A70">
        <v>69</v>
      </c>
      <c r="B70" s="3">
        <v>9049.7999999999993</v>
      </c>
      <c r="C70" s="3">
        <v>2757</v>
      </c>
      <c r="D70">
        <v>0.5</v>
      </c>
      <c r="E70" s="3">
        <v>3.2</v>
      </c>
      <c r="F70" s="2">
        <f t="shared" si="4"/>
        <v>0.64000000000000012</v>
      </c>
      <c r="H70" s="3">
        <v>3.2</v>
      </c>
      <c r="I70" s="4">
        <f t="shared" si="5"/>
        <v>0.2</v>
      </c>
    </row>
    <row r="71" spans="1:9" x14ac:dyDescent="0.3">
      <c r="A71">
        <v>70</v>
      </c>
      <c r="B71" s="3">
        <v>9082.9</v>
      </c>
      <c r="C71" s="3">
        <v>2791</v>
      </c>
      <c r="D71">
        <v>0.4</v>
      </c>
      <c r="E71" s="3">
        <v>16</v>
      </c>
      <c r="F71" s="2">
        <f t="shared" si="4"/>
        <v>3.2</v>
      </c>
      <c r="H71" s="3">
        <v>16</v>
      </c>
      <c r="I71" s="4">
        <f t="shared" si="5"/>
        <v>0.2</v>
      </c>
    </row>
    <row r="72" spans="1:9" x14ac:dyDescent="0.3">
      <c r="A72">
        <v>71</v>
      </c>
      <c r="B72" s="3">
        <v>9090</v>
      </c>
      <c r="C72" s="3">
        <v>2798.3</v>
      </c>
      <c r="D72">
        <v>0.5</v>
      </c>
      <c r="E72" s="3">
        <v>0.7</v>
      </c>
      <c r="F72" s="2">
        <f t="shared" si="4"/>
        <v>0.35</v>
      </c>
      <c r="H72" s="3">
        <v>0.7</v>
      </c>
      <c r="I72" s="4">
        <f t="shared" si="5"/>
        <v>0.5</v>
      </c>
    </row>
    <row r="73" spans="1:9" x14ac:dyDescent="0.3">
      <c r="A73">
        <v>72</v>
      </c>
      <c r="B73" s="3">
        <v>9100.7000000000007</v>
      </c>
      <c r="C73" s="3">
        <v>2809.4</v>
      </c>
      <c r="D73">
        <v>0.5</v>
      </c>
      <c r="E73" s="3">
        <v>1.2</v>
      </c>
      <c r="F73" s="2">
        <f t="shared" si="4"/>
        <v>0.24</v>
      </c>
      <c r="H73" s="3">
        <v>1.2</v>
      </c>
      <c r="I73" s="4">
        <f t="shared" si="5"/>
        <v>0.2</v>
      </c>
    </row>
    <row r="74" spans="1:9" x14ac:dyDescent="0.3">
      <c r="A74">
        <v>73</v>
      </c>
      <c r="B74" s="3">
        <v>9101.9</v>
      </c>
      <c r="C74" s="3">
        <v>2810.6</v>
      </c>
      <c r="D74">
        <v>0.5</v>
      </c>
      <c r="E74" s="3">
        <v>2.1</v>
      </c>
      <c r="F74" s="2">
        <f t="shared" si="4"/>
        <v>0.42000000000000004</v>
      </c>
      <c r="H74" s="3">
        <v>2.1</v>
      </c>
      <c r="I74" s="4">
        <f t="shared" si="5"/>
        <v>0.2</v>
      </c>
    </row>
    <row r="75" spans="1:9" x14ac:dyDescent="0.3">
      <c r="A75">
        <v>74</v>
      </c>
      <c r="B75" s="3">
        <v>9108.9</v>
      </c>
      <c r="C75" s="3">
        <v>2817.8</v>
      </c>
      <c r="D75">
        <v>0.5</v>
      </c>
      <c r="E75" s="3">
        <v>0.5</v>
      </c>
      <c r="F75" s="2">
        <f t="shared" si="4"/>
        <v>0.25</v>
      </c>
      <c r="H75" s="3">
        <v>0.5</v>
      </c>
      <c r="I75" s="4">
        <f t="shared" si="5"/>
        <v>0.5</v>
      </c>
    </row>
    <row r="76" spans="1:9" x14ac:dyDescent="0.3">
      <c r="A76">
        <v>75</v>
      </c>
      <c r="B76" s="3">
        <v>9111.5</v>
      </c>
      <c r="C76" s="3">
        <v>2820.5</v>
      </c>
      <c r="D76">
        <v>0.5</v>
      </c>
      <c r="E76" s="3">
        <v>0.5</v>
      </c>
      <c r="F76" s="2">
        <f t="shared" si="4"/>
        <v>0.25</v>
      </c>
      <c r="H76" s="3">
        <v>0.5</v>
      </c>
      <c r="I76" s="4">
        <f t="shared" si="5"/>
        <v>0.5</v>
      </c>
    </row>
    <row r="77" spans="1:9" x14ac:dyDescent="0.3">
      <c r="A77">
        <v>76</v>
      </c>
      <c r="B77" s="3">
        <v>9125.5</v>
      </c>
      <c r="C77" s="3">
        <v>2834.9</v>
      </c>
      <c r="D77">
        <v>0.5</v>
      </c>
      <c r="E77" s="3">
        <v>1.2</v>
      </c>
      <c r="F77" s="2">
        <f t="shared" si="4"/>
        <v>0.24</v>
      </c>
      <c r="H77" s="3">
        <v>1.2</v>
      </c>
      <c r="I77" s="4">
        <f t="shared" si="5"/>
        <v>0.2</v>
      </c>
    </row>
    <row r="78" spans="1:9" x14ac:dyDescent="0.3">
      <c r="A78">
        <v>77</v>
      </c>
      <c r="B78" s="3">
        <v>9136.6</v>
      </c>
      <c r="C78" s="3">
        <v>2846.3</v>
      </c>
      <c r="D78">
        <v>0.5</v>
      </c>
      <c r="E78" s="3">
        <v>0.2</v>
      </c>
      <c r="F78" s="2">
        <f t="shared" si="4"/>
        <v>0.1</v>
      </c>
      <c r="H78" s="3">
        <v>0.2</v>
      </c>
      <c r="I78" s="4">
        <f t="shared" si="5"/>
        <v>0.5</v>
      </c>
    </row>
    <row r="79" spans="1:9" x14ac:dyDescent="0.3">
      <c r="A79">
        <v>78</v>
      </c>
      <c r="B79" s="3">
        <v>9139.7999999999993</v>
      </c>
      <c r="C79" s="3">
        <v>2849.6</v>
      </c>
      <c r="D79">
        <v>0.5</v>
      </c>
      <c r="E79" s="3">
        <v>1.9</v>
      </c>
      <c r="F79" s="2">
        <f t="shared" si="4"/>
        <v>0.38</v>
      </c>
      <c r="H79" s="3">
        <v>1.9</v>
      </c>
      <c r="I79" s="4">
        <f t="shared" si="5"/>
        <v>0.2</v>
      </c>
    </row>
    <row r="80" spans="1:9" x14ac:dyDescent="0.3">
      <c r="A80">
        <v>79</v>
      </c>
      <c r="B80" s="3">
        <v>9157.1</v>
      </c>
      <c r="C80" s="3">
        <v>2867.5</v>
      </c>
      <c r="D80">
        <v>0.5</v>
      </c>
      <c r="E80" s="3">
        <v>2</v>
      </c>
      <c r="F80" s="2">
        <f t="shared" si="4"/>
        <v>0.4</v>
      </c>
      <c r="H80" s="3">
        <v>2</v>
      </c>
      <c r="I80" s="4">
        <f t="shared" si="5"/>
        <v>0.2</v>
      </c>
    </row>
    <row r="81" spans="1:9" x14ac:dyDescent="0.3">
      <c r="A81">
        <v>80</v>
      </c>
      <c r="B81" s="3">
        <v>9158.6</v>
      </c>
      <c r="C81" s="3">
        <v>2869</v>
      </c>
      <c r="D81">
        <v>0.5</v>
      </c>
      <c r="E81" s="3">
        <v>6.7</v>
      </c>
      <c r="F81" s="2">
        <f t="shared" si="4"/>
        <v>1.34</v>
      </c>
      <c r="H81" s="3">
        <v>6.7</v>
      </c>
      <c r="I81" s="4">
        <f t="shared" si="5"/>
        <v>0.2</v>
      </c>
    </row>
    <row r="82" spans="1:9" x14ac:dyDescent="0.3">
      <c r="A82">
        <v>81</v>
      </c>
      <c r="B82" s="3">
        <v>9164.7999999999993</v>
      </c>
      <c r="C82" s="3">
        <v>2875.3</v>
      </c>
      <c r="D82">
        <v>0.5</v>
      </c>
      <c r="E82" s="3">
        <v>0.4</v>
      </c>
      <c r="F82" s="2">
        <f t="shared" si="4"/>
        <v>0.2</v>
      </c>
      <c r="H82" s="3">
        <v>0.4</v>
      </c>
      <c r="I82" s="4">
        <f t="shared" si="5"/>
        <v>0.5</v>
      </c>
    </row>
    <row r="83" spans="1:9" x14ac:dyDescent="0.3">
      <c r="A83">
        <v>82</v>
      </c>
      <c r="B83" s="3">
        <v>9185.7000000000007</v>
      </c>
      <c r="C83" s="3">
        <v>2896.9</v>
      </c>
      <c r="D83">
        <v>0.5</v>
      </c>
      <c r="E83" s="3">
        <v>0.9</v>
      </c>
      <c r="F83" s="2">
        <f t="shared" si="4"/>
        <v>0.45</v>
      </c>
      <c r="H83" s="3">
        <v>0.9</v>
      </c>
      <c r="I83" s="4">
        <f t="shared" si="5"/>
        <v>0.5</v>
      </c>
    </row>
    <row r="84" spans="1:9" x14ac:dyDescent="0.3">
      <c r="A84">
        <v>83</v>
      </c>
      <c r="B84" s="3">
        <v>9190.2999999999993</v>
      </c>
      <c r="C84" s="3">
        <v>2901.6</v>
      </c>
      <c r="D84">
        <v>0.5</v>
      </c>
      <c r="E84" s="3">
        <v>0.9</v>
      </c>
      <c r="F84" s="2">
        <f t="shared" si="4"/>
        <v>0.45</v>
      </c>
      <c r="H84" s="3">
        <v>0.9</v>
      </c>
      <c r="I84" s="4">
        <f t="shared" si="5"/>
        <v>0.5</v>
      </c>
    </row>
    <row r="85" spans="1:9" x14ac:dyDescent="0.3">
      <c r="A85">
        <v>84</v>
      </c>
      <c r="B85" s="3">
        <v>9195.6</v>
      </c>
      <c r="C85" s="3">
        <v>2907.1</v>
      </c>
      <c r="D85">
        <v>0.5</v>
      </c>
      <c r="E85" s="3">
        <v>4</v>
      </c>
      <c r="F85" s="2">
        <f t="shared" si="4"/>
        <v>0.8</v>
      </c>
      <c r="H85" s="3">
        <v>4</v>
      </c>
      <c r="I85" s="4">
        <f t="shared" si="5"/>
        <v>0.2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E3C-D2D0-41F2-9E09-670422BD0B7B}">
  <dimension ref="A1:J17"/>
  <sheetViews>
    <sheetView workbookViewId="0">
      <selection activeCell="C28" sqref="C28"/>
    </sheetView>
  </sheetViews>
  <sheetFormatPr defaultRowHeight="14.4" x14ac:dyDescent="0.3"/>
  <cols>
    <col min="1" max="8" width="8.88671875" style="5"/>
    <col min="9" max="9" width="2.77734375" style="5" bestFit="1" customWidth="1"/>
    <col min="10" max="10" width="9.44140625" style="5" bestFit="1" customWidth="1"/>
    <col min="11" max="16384" width="8.88671875" style="5"/>
  </cols>
  <sheetData>
    <row r="1" spans="1:10" x14ac:dyDescent="0.3">
      <c r="A1" s="5" t="s">
        <v>7</v>
      </c>
      <c r="B1" s="5" t="s">
        <v>8</v>
      </c>
      <c r="C1" s="5" t="s">
        <v>58</v>
      </c>
      <c r="D1" s="5" t="s">
        <v>59</v>
      </c>
      <c r="E1" s="5" t="s">
        <v>59</v>
      </c>
      <c r="F1" s="5" t="s">
        <v>60</v>
      </c>
      <c r="G1" s="5" t="s">
        <v>61</v>
      </c>
      <c r="H1" s="5" t="s">
        <v>9</v>
      </c>
    </row>
    <row r="2" spans="1:10" x14ac:dyDescent="0.3">
      <c r="A2" s="5">
        <v>9.08</v>
      </c>
      <c r="B2" s="5">
        <v>0</v>
      </c>
      <c r="C2" s="5">
        <f t="shared" ref="C2:C17" si="0">A2*1000-B2*1000</f>
        <v>9080</v>
      </c>
      <c r="D2" s="5">
        <f t="shared" ref="D2:D17" si="1">A2*1000</f>
        <v>9080</v>
      </c>
      <c r="E2" s="5">
        <f t="shared" ref="E2:E17" si="2">B2*1000</f>
        <v>0</v>
      </c>
      <c r="F2" s="5" t="s">
        <v>49</v>
      </c>
      <c r="G2" s="5" t="s">
        <v>50</v>
      </c>
      <c r="H2" s="5" t="s">
        <v>51</v>
      </c>
    </row>
    <row r="3" spans="1:10" x14ac:dyDescent="0.3">
      <c r="A3" s="5">
        <v>9.08</v>
      </c>
      <c r="B3" s="5">
        <v>1.76</v>
      </c>
      <c r="C3" s="5">
        <f t="shared" si="0"/>
        <v>7320</v>
      </c>
      <c r="D3" s="5">
        <f t="shared" si="1"/>
        <v>9080</v>
      </c>
      <c r="E3" s="5">
        <f t="shared" si="2"/>
        <v>1760</v>
      </c>
      <c r="F3" s="5" t="s">
        <v>52</v>
      </c>
      <c r="G3" s="5" t="s">
        <v>53</v>
      </c>
      <c r="H3" s="5" t="s">
        <v>54</v>
      </c>
    </row>
    <row r="4" spans="1:10" x14ac:dyDescent="0.3">
      <c r="A4" s="5">
        <v>9.08</v>
      </c>
      <c r="B4" s="5">
        <v>3.92</v>
      </c>
      <c r="C4" s="5">
        <f t="shared" si="0"/>
        <v>5160</v>
      </c>
      <c r="D4" s="5">
        <f t="shared" si="1"/>
        <v>9080</v>
      </c>
      <c r="E4" s="5">
        <f t="shared" si="2"/>
        <v>3920</v>
      </c>
      <c r="F4" s="5" t="s">
        <v>55</v>
      </c>
      <c r="G4" s="5" t="s">
        <v>56</v>
      </c>
      <c r="H4" s="5" t="s">
        <v>57</v>
      </c>
    </row>
    <row r="5" spans="1:10" x14ac:dyDescent="0.3">
      <c r="A5" s="5">
        <v>8.9499999999999993</v>
      </c>
      <c r="B5" s="5">
        <v>0</v>
      </c>
      <c r="C5" s="5">
        <f t="shared" si="0"/>
        <v>8950</v>
      </c>
      <c r="D5" s="5">
        <f t="shared" si="1"/>
        <v>8950</v>
      </c>
      <c r="E5" s="5">
        <f t="shared" si="2"/>
        <v>0</v>
      </c>
      <c r="F5" s="5" t="s">
        <v>42</v>
      </c>
      <c r="G5" s="5" t="s">
        <v>36</v>
      </c>
      <c r="H5" s="5" t="s">
        <v>43</v>
      </c>
      <c r="I5" s="5" t="s">
        <v>13</v>
      </c>
      <c r="J5" s="5" t="s">
        <v>44</v>
      </c>
    </row>
    <row r="6" spans="1:10" x14ac:dyDescent="0.3">
      <c r="A6" s="5">
        <v>8.9499999999999993</v>
      </c>
      <c r="B6" s="5">
        <v>1.22</v>
      </c>
      <c r="C6" s="5">
        <f t="shared" si="0"/>
        <v>7730</v>
      </c>
      <c r="D6" s="5">
        <f t="shared" si="1"/>
        <v>8950</v>
      </c>
      <c r="E6" s="5">
        <f t="shared" si="2"/>
        <v>1220</v>
      </c>
      <c r="F6" s="5" t="s">
        <v>45</v>
      </c>
      <c r="G6" s="5" t="s">
        <v>46</v>
      </c>
      <c r="H6" s="5" t="s">
        <v>47</v>
      </c>
      <c r="I6" s="5" t="s">
        <v>13</v>
      </c>
      <c r="J6" s="5" t="s">
        <v>48</v>
      </c>
    </row>
    <row r="7" spans="1:10" x14ac:dyDescent="0.3">
      <c r="A7" s="5">
        <v>8.64</v>
      </c>
      <c r="B7" s="5">
        <v>0</v>
      </c>
      <c r="C7" s="5">
        <f t="shared" si="0"/>
        <v>8640</v>
      </c>
      <c r="D7" s="5">
        <f t="shared" si="1"/>
        <v>8640</v>
      </c>
      <c r="E7" s="5">
        <f t="shared" si="2"/>
        <v>0</v>
      </c>
      <c r="F7" s="5" t="s">
        <v>41</v>
      </c>
      <c r="G7" s="5" t="s">
        <v>33</v>
      </c>
    </row>
    <row r="8" spans="1:10" x14ac:dyDescent="0.3">
      <c r="A8" s="5">
        <v>8.6300000000000008</v>
      </c>
      <c r="B8" s="5">
        <v>1.76</v>
      </c>
      <c r="C8" s="5">
        <f t="shared" si="0"/>
        <v>6870</v>
      </c>
      <c r="D8" s="5">
        <f t="shared" si="1"/>
        <v>8630</v>
      </c>
      <c r="E8" s="5">
        <f t="shared" si="2"/>
        <v>1760</v>
      </c>
      <c r="F8" s="5" t="s">
        <v>29</v>
      </c>
      <c r="G8" s="5" t="s">
        <v>30</v>
      </c>
      <c r="H8" s="5" t="s">
        <v>31</v>
      </c>
    </row>
    <row r="9" spans="1:10" x14ac:dyDescent="0.3">
      <c r="A9" s="5">
        <v>8.6300000000000008</v>
      </c>
      <c r="B9" s="5">
        <v>4.1100000000000003</v>
      </c>
      <c r="C9" s="5">
        <f t="shared" si="0"/>
        <v>4520</v>
      </c>
      <c r="D9" s="5">
        <f t="shared" si="1"/>
        <v>8630</v>
      </c>
      <c r="E9" s="5">
        <f t="shared" si="2"/>
        <v>4110</v>
      </c>
      <c r="F9" s="5" t="s">
        <v>32</v>
      </c>
      <c r="G9" s="5" t="s">
        <v>33</v>
      </c>
      <c r="H9" s="5" t="s">
        <v>34</v>
      </c>
    </row>
    <row r="10" spans="1:10" x14ac:dyDescent="0.3">
      <c r="A10" s="5">
        <v>8.6300000000000008</v>
      </c>
      <c r="B10" s="5">
        <v>4.3499999999999996</v>
      </c>
      <c r="C10" s="5">
        <f t="shared" si="0"/>
        <v>4280</v>
      </c>
      <c r="D10" s="5">
        <f t="shared" si="1"/>
        <v>8630</v>
      </c>
      <c r="E10" s="5">
        <f t="shared" si="2"/>
        <v>4350</v>
      </c>
      <c r="F10" s="5" t="s">
        <v>35</v>
      </c>
      <c r="G10" s="5" t="s">
        <v>36</v>
      </c>
      <c r="H10" s="5" t="s">
        <v>37</v>
      </c>
    </row>
    <row r="11" spans="1:10" x14ac:dyDescent="0.3">
      <c r="A11" s="5">
        <v>8.6300000000000008</v>
      </c>
      <c r="B11" s="5">
        <v>5.16</v>
      </c>
      <c r="C11" s="5">
        <f t="shared" si="0"/>
        <v>3470</v>
      </c>
      <c r="D11" s="5">
        <f t="shared" si="1"/>
        <v>8630</v>
      </c>
      <c r="E11" s="5">
        <f t="shared" si="2"/>
        <v>5160</v>
      </c>
      <c r="F11" s="5" t="s">
        <v>38</v>
      </c>
      <c r="G11" s="5" t="s">
        <v>39</v>
      </c>
      <c r="H11" s="5" t="s">
        <v>40</v>
      </c>
    </row>
    <row r="12" spans="1:10" x14ac:dyDescent="0.3">
      <c r="A12" s="5">
        <v>5.16</v>
      </c>
      <c r="B12" s="5">
        <v>1.76</v>
      </c>
      <c r="C12" s="5">
        <f t="shared" si="0"/>
        <v>3400</v>
      </c>
      <c r="D12" s="5">
        <f t="shared" si="1"/>
        <v>5160</v>
      </c>
      <c r="E12" s="5">
        <f t="shared" si="2"/>
        <v>1760</v>
      </c>
      <c r="F12" s="5" t="s">
        <v>23</v>
      </c>
      <c r="G12" s="5" t="s">
        <v>24</v>
      </c>
      <c r="H12" s="5" t="s">
        <v>25</v>
      </c>
    </row>
    <row r="13" spans="1:10" x14ac:dyDescent="0.3">
      <c r="A13" s="5">
        <v>5.16</v>
      </c>
      <c r="B13" s="5">
        <v>3.16</v>
      </c>
      <c r="C13" s="5">
        <f t="shared" si="0"/>
        <v>2000</v>
      </c>
      <c r="D13" s="5">
        <f t="shared" si="1"/>
        <v>5160</v>
      </c>
      <c r="E13" s="5">
        <f t="shared" si="2"/>
        <v>3160</v>
      </c>
      <c r="F13" s="5" t="s">
        <v>26</v>
      </c>
      <c r="G13" s="5" t="s">
        <v>27</v>
      </c>
      <c r="H13" s="5" t="s">
        <v>28</v>
      </c>
    </row>
    <row r="14" spans="1:10" x14ac:dyDescent="0.3">
      <c r="A14" s="5">
        <v>4.3499999999999996</v>
      </c>
      <c r="B14" s="5">
        <v>2.65</v>
      </c>
      <c r="C14" s="5">
        <f t="shared" si="0"/>
        <v>1700</v>
      </c>
      <c r="D14" s="5">
        <f t="shared" si="1"/>
        <v>4350</v>
      </c>
      <c r="E14" s="5">
        <f t="shared" si="2"/>
        <v>2650</v>
      </c>
      <c r="F14" s="5" t="s">
        <v>20</v>
      </c>
      <c r="G14" s="5" t="s">
        <v>21</v>
      </c>
      <c r="H14" s="5" t="s">
        <v>22</v>
      </c>
    </row>
    <row r="15" spans="1:10" x14ac:dyDescent="0.3">
      <c r="A15" s="5">
        <v>4.1100000000000003</v>
      </c>
      <c r="B15" s="5">
        <v>0</v>
      </c>
      <c r="C15" s="5">
        <f t="shared" si="0"/>
        <v>4110</v>
      </c>
      <c r="D15" s="5">
        <f t="shared" si="1"/>
        <v>4110</v>
      </c>
      <c r="E15" s="5">
        <f t="shared" si="2"/>
        <v>0</v>
      </c>
      <c r="F15" s="5" t="s">
        <v>14</v>
      </c>
      <c r="G15" s="5" t="s">
        <v>15</v>
      </c>
      <c r="H15" s="5" t="s">
        <v>16</v>
      </c>
    </row>
    <row r="16" spans="1:10" x14ac:dyDescent="0.3">
      <c r="A16" s="5">
        <v>4.1100000000000003</v>
      </c>
      <c r="B16" s="5">
        <v>1.76</v>
      </c>
      <c r="C16" s="5">
        <f t="shared" si="0"/>
        <v>2350</v>
      </c>
      <c r="D16" s="5">
        <f t="shared" si="1"/>
        <v>4110</v>
      </c>
      <c r="E16" s="5">
        <f t="shared" si="2"/>
        <v>1760</v>
      </c>
      <c r="F16" s="5" t="s">
        <v>17</v>
      </c>
      <c r="G16" s="5" t="s">
        <v>18</v>
      </c>
      <c r="H16" s="5" t="s">
        <v>19</v>
      </c>
    </row>
    <row r="17" spans="1:10" x14ac:dyDescent="0.3">
      <c r="A17" s="5">
        <v>3.92</v>
      </c>
      <c r="B17" s="5">
        <v>0</v>
      </c>
      <c r="C17" s="5">
        <f t="shared" si="0"/>
        <v>3920</v>
      </c>
      <c r="D17" s="5">
        <f t="shared" si="1"/>
        <v>3920</v>
      </c>
      <c r="E17" s="5">
        <f t="shared" si="2"/>
        <v>0</v>
      </c>
      <c r="F17" s="5" t="s">
        <v>10</v>
      </c>
      <c r="G17" s="5" t="s">
        <v>11</v>
      </c>
      <c r="H17" s="5" t="s">
        <v>12</v>
      </c>
      <c r="I17" s="5" t="s">
        <v>13</v>
      </c>
      <c r="J17" s="6" t="s">
        <v>62</v>
      </c>
    </row>
  </sheetData>
  <sortState xmlns:xlrd2="http://schemas.microsoft.com/office/spreadsheetml/2017/richdata2" ref="A1:J17">
    <sortCondition descending="1" ref="A1:A17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85F0-98E3-4360-96BE-1FF572DB4780}">
  <dimension ref="A2:AA57"/>
  <sheetViews>
    <sheetView workbookViewId="0">
      <selection activeCell="F27" sqref="F27"/>
    </sheetView>
  </sheetViews>
  <sheetFormatPr defaultRowHeight="14.4" x14ac:dyDescent="0.3"/>
  <cols>
    <col min="1" max="1" width="7" style="5" bestFit="1" customWidth="1"/>
    <col min="2" max="2" width="8" style="5" bestFit="1" customWidth="1"/>
    <col min="3" max="3" width="8.21875" style="5" bestFit="1" customWidth="1"/>
    <col min="4" max="4" width="9.21875" style="5" bestFit="1" customWidth="1"/>
    <col min="5" max="5" width="7" style="5" bestFit="1" customWidth="1"/>
    <col min="6" max="6" width="6.88671875" style="5" bestFit="1" customWidth="1"/>
    <col min="7" max="7" width="4.77734375" style="5" bestFit="1" customWidth="1"/>
    <col min="8" max="18" width="7.33203125" style="5" bestFit="1" customWidth="1"/>
    <col min="19" max="20" width="8.33203125" style="5" bestFit="1" customWidth="1"/>
    <col min="21" max="21" width="11" style="5" bestFit="1" customWidth="1"/>
    <col min="22" max="16384" width="8.88671875" style="5"/>
  </cols>
  <sheetData>
    <row r="2" spans="1:27" x14ac:dyDescent="0.3">
      <c r="A2" s="5" t="s">
        <v>63</v>
      </c>
      <c r="B2" s="5" t="s">
        <v>66</v>
      </c>
      <c r="C2" s="5" t="s">
        <v>67</v>
      </c>
      <c r="D2" s="5" t="s">
        <v>68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7" x14ac:dyDescent="0.3">
      <c r="A3" s="5">
        <v>716</v>
      </c>
      <c r="B3" s="5">
        <v>1</v>
      </c>
      <c r="C3" s="5">
        <v>0.3</v>
      </c>
      <c r="D3" s="5">
        <f>C3*0.3</f>
        <v>0.09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7" x14ac:dyDescent="0.3">
      <c r="A4" s="5">
        <v>754.6</v>
      </c>
      <c r="B4" s="5">
        <v>1</v>
      </c>
      <c r="C4" s="5">
        <v>0.5</v>
      </c>
      <c r="D4" s="5">
        <f t="shared" ref="D4:D57" si="0">C4*0.3</f>
        <v>0.15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7" x14ac:dyDescent="0.3">
      <c r="A5" s="5">
        <v>832.2</v>
      </c>
      <c r="B5" s="5">
        <v>1.5</v>
      </c>
      <c r="C5" s="5">
        <v>0.3</v>
      </c>
      <c r="D5" s="5">
        <f t="shared" si="0"/>
        <v>0.09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7" x14ac:dyDescent="0.3">
      <c r="A6" s="5">
        <v>848.1</v>
      </c>
      <c r="B6" s="5">
        <v>1</v>
      </c>
      <c r="C6" s="5">
        <v>1.2</v>
      </c>
      <c r="D6" s="5">
        <f t="shared" si="0"/>
        <v>0.36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7" x14ac:dyDescent="0.3">
      <c r="A7" s="5">
        <v>879.3</v>
      </c>
      <c r="B7" s="5">
        <v>1</v>
      </c>
      <c r="C7" s="5">
        <v>0.3</v>
      </c>
      <c r="D7" s="5">
        <f t="shared" si="0"/>
        <v>0.09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AA7" s="5" t="s">
        <v>69</v>
      </c>
    </row>
    <row r="8" spans="1:27" x14ac:dyDescent="0.3">
      <c r="A8" s="5">
        <v>888.5</v>
      </c>
      <c r="B8" s="5">
        <v>1</v>
      </c>
      <c r="C8" s="5">
        <v>1.9</v>
      </c>
      <c r="D8" s="5">
        <f t="shared" si="0"/>
        <v>0.56999999999999995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7" x14ac:dyDescent="0.3">
      <c r="A9" s="5">
        <v>929</v>
      </c>
      <c r="B9" s="5">
        <v>1</v>
      </c>
      <c r="C9" s="5">
        <v>2.2000000000000002</v>
      </c>
      <c r="D9" s="5">
        <f t="shared" si="0"/>
        <v>0.66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7" x14ac:dyDescent="0.3">
      <c r="A10" s="5">
        <v>1021</v>
      </c>
      <c r="B10" s="5">
        <v>1</v>
      </c>
      <c r="C10" s="5">
        <v>3.1</v>
      </c>
      <c r="D10" s="5">
        <f t="shared" si="0"/>
        <v>0.92999999999999994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7" x14ac:dyDescent="0.3">
      <c r="A11" s="5">
        <v>1056.9000000000001</v>
      </c>
      <c r="B11" s="5">
        <v>1.6</v>
      </c>
      <c r="C11" s="5">
        <v>0.5</v>
      </c>
      <c r="D11" s="5">
        <f t="shared" si="0"/>
        <v>0.15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7" x14ac:dyDescent="0.3">
      <c r="A12" s="5">
        <v>1112.2</v>
      </c>
      <c r="B12" s="5">
        <v>0.6</v>
      </c>
      <c r="C12" s="5">
        <v>0.4</v>
      </c>
      <c r="D12" s="5">
        <f t="shared" si="0"/>
        <v>0.12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7" x14ac:dyDescent="0.3">
      <c r="A13" s="5">
        <v>1165.4000000000001</v>
      </c>
      <c r="B13" s="5">
        <v>0.7</v>
      </c>
      <c r="C13" s="5">
        <v>0.8</v>
      </c>
      <c r="D13" s="5">
        <f t="shared" si="0"/>
        <v>0.24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7" x14ac:dyDescent="0.3">
      <c r="A14" s="5">
        <v>1181.4000000000001</v>
      </c>
      <c r="B14" s="5">
        <v>0.7</v>
      </c>
      <c r="C14" s="5">
        <v>0.4</v>
      </c>
      <c r="D14" s="5">
        <f t="shared" si="0"/>
        <v>0.12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7" x14ac:dyDescent="0.3">
      <c r="A15" s="5">
        <v>1212.4000000000001</v>
      </c>
      <c r="B15" s="5">
        <v>0.7</v>
      </c>
      <c r="C15" s="5">
        <v>21</v>
      </c>
      <c r="D15" s="5">
        <v>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AA15" s="5" t="s">
        <v>69</v>
      </c>
    </row>
    <row r="16" spans="1:27" x14ac:dyDescent="0.3">
      <c r="A16" s="5">
        <v>1225.3</v>
      </c>
      <c r="B16" s="5">
        <v>0.7</v>
      </c>
      <c r="C16" s="5">
        <v>1.5</v>
      </c>
      <c r="D16" s="5">
        <f t="shared" si="0"/>
        <v>0.44999999999999996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7" x14ac:dyDescent="0.3">
      <c r="A17" s="5">
        <v>1265.7</v>
      </c>
      <c r="B17" s="5">
        <v>0.8</v>
      </c>
      <c r="C17" s="5">
        <v>2.8</v>
      </c>
      <c r="D17" s="5">
        <f t="shared" si="0"/>
        <v>0.84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AA17" s="5" t="s">
        <v>69</v>
      </c>
    </row>
    <row r="18" spans="1:27" x14ac:dyDescent="0.3">
      <c r="A18" s="5">
        <v>1284.5</v>
      </c>
      <c r="B18" s="5">
        <v>0.5</v>
      </c>
      <c r="C18" s="5">
        <v>1.7</v>
      </c>
      <c r="D18" s="5">
        <f t="shared" si="0"/>
        <v>0.51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7" x14ac:dyDescent="0.3">
      <c r="A19" s="5">
        <v>1324.2</v>
      </c>
      <c r="B19" s="5">
        <v>0.8</v>
      </c>
      <c r="C19" s="5">
        <v>0.8</v>
      </c>
      <c r="D19" s="5">
        <f t="shared" si="0"/>
        <v>0.24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7" x14ac:dyDescent="0.3">
      <c r="A20" s="5">
        <v>1339.7</v>
      </c>
      <c r="B20" s="5">
        <v>0.8</v>
      </c>
      <c r="C20" s="5">
        <v>1.3</v>
      </c>
      <c r="D20" s="5">
        <f t="shared" si="0"/>
        <v>0.39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7" x14ac:dyDescent="0.3">
      <c r="A21" s="5">
        <v>1353.8</v>
      </c>
      <c r="B21" s="5">
        <v>0.8</v>
      </c>
      <c r="C21" s="5">
        <v>2.8</v>
      </c>
      <c r="D21" s="5">
        <f t="shared" si="0"/>
        <v>0.84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7" x14ac:dyDescent="0.3">
      <c r="A22" s="5">
        <v>1362.3</v>
      </c>
      <c r="B22" s="5">
        <v>0.8</v>
      </c>
      <c r="C22" s="5">
        <v>0.6</v>
      </c>
      <c r="D22" s="5">
        <f t="shared" si="0"/>
        <v>0.18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AA22" s="5" t="s">
        <v>69</v>
      </c>
    </row>
    <row r="23" spans="1:27" x14ac:dyDescent="0.3">
      <c r="A23" s="5">
        <v>1375.1</v>
      </c>
      <c r="B23" s="5">
        <v>0.8</v>
      </c>
      <c r="C23" s="5">
        <v>4.4000000000000004</v>
      </c>
      <c r="D23" s="5">
        <f t="shared" si="0"/>
        <v>1.32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AA23" s="5" t="s">
        <v>69</v>
      </c>
    </row>
    <row r="24" spans="1:27" x14ac:dyDescent="0.3">
      <c r="A24" s="5">
        <v>1414.7</v>
      </c>
      <c r="B24" s="5">
        <v>0.9</v>
      </c>
      <c r="C24" s="5">
        <v>1.7</v>
      </c>
      <c r="D24" s="5">
        <f t="shared" si="0"/>
        <v>0.51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7" x14ac:dyDescent="0.3">
      <c r="A25" s="5">
        <v>1447.5</v>
      </c>
      <c r="B25" s="5">
        <v>0.9</v>
      </c>
      <c r="C25" s="5">
        <v>1.5</v>
      </c>
      <c r="D25" s="5">
        <f t="shared" si="0"/>
        <v>0.44999999999999996</v>
      </c>
    </row>
    <row r="26" spans="1:27" x14ac:dyDescent="0.3">
      <c r="A26" s="5">
        <v>1452.3</v>
      </c>
      <c r="B26" s="5">
        <v>1.3</v>
      </c>
      <c r="C26" s="5">
        <v>0.9</v>
      </c>
      <c r="D26" s="5">
        <f t="shared" si="0"/>
        <v>0.27</v>
      </c>
    </row>
    <row r="27" spans="1:27" x14ac:dyDescent="0.3">
      <c r="A27" s="5">
        <v>1468.2</v>
      </c>
      <c r="B27" s="5">
        <v>0.9</v>
      </c>
      <c r="C27" s="5">
        <v>1.4</v>
      </c>
      <c r="D27" s="5">
        <f t="shared" si="0"/>
        <v>0.42</v>
      </c>
    </row>
    <row r="28" spans="1:27" x14ac:dyDescent="0.3">
      <c r="A28" s="5">
        <v>1510.2</v>
      </c>
      <c r="B28" s="5">
        <v>1</v>
      </c>
      <c r="C28" s="5">
        <v>4.8</v>
      </c>
      <c r="D28" s="5">
        <f t="shared" si="0"/>
        <v>1.44</v>
      </c>
    </row>
    <row r="29" spans="1:27" x14ac:dyDescent="0.3">
      <c r="A29" s="5">
        <v>1511.6</v>
      </c>
      <c r="B29" s="5">
        <v>0.9</v>
      </c>
      <c r="C29" s="5">
        <v>6.1</v>
      </c>
      <c r="D29" s="5">
        <f t="shared" si="0"/>
        <v>1.8299999999999998</v>
      </c>
    </row>
    <row r="30" spans="1:27" x14ac:dyDescent="0.3">
      <c r="A30" s="5">
        <v>1542.2</v>
      </c>
      <c r="B30" s="5">
        <v>1</v>
      </c>
      <c r="C30" s="5">
        <v>1</v>
      </c>
      <c r="D30" s="5">
        <f t="shared" si="0"/>
        <v>0.3</v>
      </c>
    </row>
    <row r="31" spans="1:27" x14ac:dyDescent="0.3">
      <c r="A31" s="5">
        <v>1554.7</v>
      </c>
      <c r="B31" s="5">
        <v>0.9</v>
      </c>
      <c r="C31" s="5">
        <v>2.2000000000000002</v>
      </c>
      <c r="D31" s="5">
        <f t="shared" si="0"/>
        <v>0.66</v>
      </c>
    </row>
    <row r="32" spans="1:27" x14ac:dyDescent="0.3">
      <c r="A32" s="5">
        <v>1573.7</v>
      </c>
      <c r="B32" s="5">
        <v>0.7</v>
      </c>
      <c r="C32" s="5">
        <v>2.2000000000000002</v>
      </c>
      <c r="D32" s="5">
        <f t="shared" si="0"/>
        <v>0.66</v>
      </c>
    </row>
    <row r="33" spans="1:4" x14ac:dyDescent="0.3">
      <c r="A33" s="5">
        <v>1598.4</v>
      </c>
      <c r="B33" s="5">
        <v>0.9</v>
      </c>
      <c r="C33" s="5">
        <v>1</v>
      </c>
      <c r="D33" s="5">
        <f t="shared" si="0"/>
        <v>0.3</v>
      </c>
    </row>
    <row r="34" spans="1:4" x14ac:dyDescent="0.3">
      <c r="A34" s="5">
        <v>1647.1</v>
      </c>
      <c r="B34" s="5">
        <v>1</v>
      </c>
      <c r="C34" s="5">
        <v>1.9</v>
      </c>
      <c r="D34" s="5">
        <f t="shared" si="0"/>
        <v>0.56999999999999995</v>
      </c>
    </row>
    <row r="35" spans="1:4" x14ac:dyDescent="0.3">
      <c r="A35" s="5">
        <v>1666.1</v>
      </c>
      <c r="B35" s="5">
        <v>1</v>
      </c>
      <c r="C35" s="5">
        <v>1.2</v>
      </c>
      <c r="D35" s="5">
        <f t="shared" si="0"/>
        <v>0.36</v>
      </c>
    </row>
    <row r="36" spans="1:4" x14ac:dyDescent="0.3">
      <c r="A36" s="5">
        <v>1672.7</v>
      </c>
      <c r="B36" s="5">
        <v>1</v>
      </c>
      <c r="C36" s="5">
        <v>2.1</v>
      </c>
      <c r="D36" s="5">
        <f t="shared" si="0"/>
        <v>0.63</v>
      </c>
    </row>
    <row r="37" spans="1:4" x14ac:dyDescent="0.3">
      <c r="A37" s="5">
        <v>1678.1</v>
      </c>
      <c r="B37" s="5">
        <v>0.9</v>
      </c>
      <c r="C37" s="5">
        <v>2.9</v>
      </c>
      <c r="D37" s="5">
        <f t="shared" si="0"/>
        <v>0.87</v>
      </c>
    </row>
    <row r="38" spans="1:4" x14ac:dyDescent="0.3">
      <c r="A38" s="5">
        <v>1682.5</v>
      </c>
      <c r="B38" s="5">
        <v>1</v>
      </c>
      <c r="C38" s="5">
        <v>4.8</v>
      </c>
      <c r="D38" s="5">
        <f t="shared" si="0"/>
        <v>1.44</v>
      </c>
    </row>
    <row r="39" spans="1:4" x14ac:dyDescent="0.3">
      <c r="A39" s="5">
        <v>1714.9</v>
      </c>
      <c r="B39" s="5">
        <v>1</v>
      </c>
      <c r="C39" s="5">
        <v>0.8</v>
      </c>
      <c r="D39" s="5">
        <f t="shared" si="0"/>
        <v>0.24</v>
      </c>
    </row>
    <row r="40" spans="1:4" x14ac:dyDescent="0.3">
      <c r="A40" s="5">
        <v>1717.3</v>
      </c>
      <c r="B40" s="5">
        <v>1.1000000000000001</v>
      </c>
      <c r="C40" s="5">
        <v>2.9</v>
      </c>
      <c r="D40" s="5">
        <f t="shared" si="0"/>
        <v>0.87</v>
      </c>
    </row>
    <row r="41" spans="1:4" x14ac:dyDescent="0.3">
      <c r="A41" s="5">
        <v>1755.7</v>
      </c>
      <c r="B41" s="5">
        <v>1.1000000000000001</v>
      </c>
      <c r="C41" s="5">
        <v>1.6</v>
      </c>
      <c r="D41" s="5">
        <f t="shared" si="0"/>
        <v>0.48</v>
      </c>
    </row>
    <row r="42" spans="1:4" x14ac:dyDescent="0.3">
      <c r="A42" s="5">
        <v>1776</v>
      </c>
      <c r="B42" s="5">
        <v>1.1000000000000001</v>
      </c>
      <c r="C42" s="5">
        <v>2.4</v>
      </c>
      <c r="D42" s="5">
        <f t="shared" si="0"/>
        <v>0.72</v>
      </c>
    </row>
    <row r="43" spans="1:4" x14ac:dyDescent="0.3">
      <c r="A43" s="5">
        <v>1786.9</v>
      </c>
      <c r="B43" s="5">
        <v>1.1000000000000001</v>
      </c>
      <c r="C43" s="5">
        <v>3.7</v>
      </c>
      <c r="D43" s="5">
        <f t="shared" si="0"/>
        <v>1.1100000000000001</v>
      </c>
    </row>
    <row r="44" spans="1:4" x14ac:dyDescent="0.3">
      <c r="A44" s="5">
        <v>1794.2</v>
      </c>
      <c r="B44" s="5">
        <v>1.1000000000000001</v>
      </c>
      <c r="C44" s="5">
        <v>1.6</v>
      </c>
      <c r="D44" s="5">
        <f t="shared" si="0"/>
        <v>0.48</v>
      </c>
    </row>
    <row r="45" spans="1:4" x14ac:dyDescent="0.3">
      <c r="A45" s="5">
        <v>1829.5</v>
      </c>
      <c r="B45" s="5">
        <v>1.1000000000000001</v>
      </c>
      <c r="C45" s="5">
        <v>1.7</v>
      </c>
      <c r="D45" s="5">
        <f t="shared" si="0"/>
        <v>0.51</v>
      </c>
    </row>
    <row r="46" spans="1:4" x14ac:dyDescent="0.3">
      <c r="A46" s="5">
        <v>1839.1</v>
      </c>
      <c r="B46" s="5">
        <v>1.1000000000000001</v>
      </c>
      <c r="C46" s="5">
        <v>1.9</v>
      </c>
      <c r="D46" s="5">
        <f t="shared" si="0"/>
        <v>0.56999999999999995</v>
      </c>
    </row>
    <row r="47" spans="1:4" x14ac:dyDescent="0.3">
      <c r="A47" s="5">
        <v>1862.1</v>
      </c>
      <c r="B47" s="5">
        <v>1.2</v>
      </c>
      <c r="C47" s="5">
        <v>0.9</v>
      </c>
      <c r="D47" s="5">
        <f t="shared" si="0"/>
        <v>0.27</v>
      </c>
    </row>
    <row r="48" spans="1:4" x14ac:dyDescent="0.3">
      <c r="A48" s="5">
        <v>1891.3</v>
      </c>
      <c r="B48" s="5">
        <v>1.2</v>
      </c>
      <c r="C48" s="5">
        <v>9</v>
      </c>
      <c r="D48" s="5">
        <f t="shared" si="0"/>
        <v>2.6999999999999997</v>
      </c>
    </row>
    <row r="49" spans="1:4" x14ac:dyDescent="0.3">
      <c r="A49" s="5">
        <v>1899.6</v>
      </c>
      <c r="B49" s="5">
        <v>1.1000000000000001</v>
      </c>
      <c r="C49" s="5">
        <v>7.1</v>
      </c>
      <c r="D49" s="5">
        <f t="shared" si="0"/>
        <v>2.13</v>
      </c>
    </row>
    <row r="50" spans="1:4" x14ac:dyDescent="0.3">
      <c r="A50" s="5">
        <v>1926.5</v>
      </c>
      <c r="B50" s="5">
        <v>1.2</v>
      </c>
      <c r="C50" s="5">
        <v>2.2000000000000002</v>
      </c>
      <c r="D50" s="5">
        <f t="shared" si="0"/>
        <v>0.66</v>
      </c>
    </row>
    <row r="51" spans="1:4" x14ac:dyDescent="0.3">
      <c r="A51" s="5">
        <v>1954.3</v>
      </c>
      <c r="B51" s="5">
        <v>1.2</v>
      </c>
      <c r="C51" s="5">
        <v>2</v>
      </c>
      <c r="D51" s="5">
        <f t="shared" si="0"/>
        <v>0.6</v>
      </c>
    </row>
    <row r="52" spans="1:4" x14ac:dyDescent="0.3">
      <c r="A52" s="5">
        <v>1962.8</v>
      </c>
      <c r="B52" s="5">
        <v>1.2</v>
      </c>
      <c r="C52" s="5">
        <v>1.5</v>
      </c>
      <c r="D52" s="5">
        <f t="shared" si="0"/>
        <v>0.44999999999999996</v>
      </c>
    </row>
    <row r="53" spans="1:4" x14ac:dyDescent="0.3">
      <c r="A53" s="5">
        <v>1967.8</v>
      </c>
      <c r="B53" s="5">
        <v>1.2</v>
      </c>
      <c r="C53" s="5">
        <v>1.3</v>
      </c>
      <c r="D53" s="5">
        <f t="shared" si="0"/>
        <v>0.39</v>
      </c>
    </row>
    <row r="54" spans="1:4" x14ac:dyDescent="0.3">
      <c r="A54" s="5">
        <v>1973.8</v>
      </c>
      <c r="B54" s="5">
        <v>1.2</v>
      </c>
      <c r="C54" s="5">
        <v>1.6</v>
      </c>
      <c r="D54" s="5">
        <f t="shared" si="0"/>
        <v>0.48</v>
      </c>
    </row>
    <row r="55" spans="1:4" x14ac:dyDescent="0.3">
      <c r="A55" s="5">
        <v>1984.5</v>
      </c>
      <c r="B55" s="5">
        <v>1.2</v>
      </c>
      <c r="C55" s="5">
        <v>3.5</v>
      </c>
      <c r="D55" s="5">
        <f t="shared" si="0"/>
        <v>1.05</v>
      </c>
    </row>
    <row r="56" spans="1:4" x14ac:dyDescent="0.3">
      <c r="A56" s="5">
        <v>2006</v>
      </c>
      <c r="B56" s="5">
        <v>1.3</v>
      </c>
      <c r="C56" s="5">
        <v>4.2</v>
      </c>
      <c r="D56" s="5">
        <f t="shared" si="0"/>
        <v>1.26</v>
      </c>
    </row>
    <row r="57" spans="1:4" x14ac:dyDescent="0.3">
      <c r="A57" s="5">
        <v>2009.9</v>
      </c>
      <c r="B57" s="5">
        <v>1.3</v>
      </c>
      <c r="C57" s="5">
        <v>1.6</v>
      </c>
      <c r="D57" s="5">
        <f t="shared" si="0"/>
        <v>0.48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78AD-A845-4D51-85B7-7824A52393D0}">
  <dimension ref="A1:AJ57"/>
  <sheetViews>
    <sheetView workbookViewId="0">
      <selection activeCell="AD1" sqref="AD1:AJ49"/>
    </sheetView>
  </sheetViews>
  <sheetFormatPr defaultRowHeight="11.4" x14ac:dyDescent="0.3"/>
  <cols>
    <col min="1" max="1" width="6" style="8" bestFit="1" customWidth="1"/>
    <col min="2" max="2" width="6.88671875" style="8" bestFit="1" customWidth="1"/>
    <col min="3" max="3" width="7.109375" style="8" bestFit="1" customWidth="1"/>
    <col min="4" max="4" width="8" style="8" bestFit="1" customWidth="1"/>
    <col min="5" max="5" width="6.44140625" style="8" bestFit="1" customWidth="1"/>
    <col min="6" max="6" width="6.77734375" style="8" bestFit="1" customWidth="1"/>
    <col min="7" max="7" width="3.109375" style="8" bestFit="1" customWidth="1"/>
    <col min="8" max="18" width="5" style="8" bestFit="1" customWidth="1"/>
    <col min="19" max="19" width="5.33203125" style="8" bestFit="1" customWidth="1"/>
    <col min="20" max="20" width="5" style="8" bestFit="1" customWidth="1"/>
    <col min="21" max="21" width="5" style="8" customWidth="1"/>
    <col min="22" max="22" width="9.88671875" style="8" bestFit="1" customWidth="1"/>
    <col min="23" max="23" width="9.44140625" style="8" bestFit="1" customWidth="1"/>
    <col min="24" max="28" width="7.6640625" style="8" bestFit="1" customWidth="1"/>
    <col min="29" max="29" width="6.33203125" style="8" bestFit="1" customWidth="1"/>
    <col min="30" max="16384" width="8.88671875" style="8"/>
  </cols>
  <sheetData>
    <row r="1" spans="1:36" x14ac:dyDescent="0.3">
      <c r="G1" s="8">
        <f>G2*1000</f>
        <v>0</v>
      </c>
      <c r="H1" s="8">
        <f t="shared" ref="H1:T1" si="0">H2*1000</f>
        <v>1220</v>
      </c>
      <c r="I1" s="8">
        <f t="shared" si="0"/>
        <v>1760</v>
      </c>
      <c r="J1" s="8">
        <f t="shared" si="0"/>
        <v>2650</v>
      </c>
      <c r="K1" s="8">
        <f t="shared" si="0"/>
        <v>2690</v>
      </c>
      <c r="L1" s="8">
        <f t="shared" si="0"/>
        <v>3000</v>
      </c>
      <c r="M1" s="8">
        <f t="shared" si="0"/>
        <v>3160</v>
      </c>
      <c r="N1" s="8">
        <f t="shared" si="0"/>
        <v>3920</v>
      </c>
      <c r="O1" s="8">
        <f t="shared" si="0"/>
        <v>3940</v>
      </c>
      <c r="P1" s="8">
        <f t="shared" si="0"/>
        <v>3980</v>
      </c>
      <c r="Q1" s="8">
        <f t="shared" si="0"/>
        <v>4059.9999999999995</v>
      </c>
      <c r="R1" s="8">
        <f t="shared" si="0"/>
        <v>4110</v>
      </c>
      <c r="S1" s="8">
        <f t="shared" si="0"/>
        <v>4175</v>
      </c>
      <c r="T1" s="8">
        <f t="shared" si="0"/>
        <v>4180</v>
      </c>
    </row>
    <row r="2" spans="1:36" x14ac:dyDescent="0.3">
      <c r="A2" s="8" t="s">
        <v>63</v>
      </c>
      <c r="B2" s="8" t="s">
        <v>66</v>
      </c>
      <c r="C2" s="8" t="s">
        <v>67</v>
      </c>
      <c r="D2" s="8" t="s">
        <v>68</v>
      </c>
      <c r="E2" s="8" t="s">
        <v>63</v>
      </c>
      <c r="F2" s="8" t="s">
        <v>96</v>
      </c>
      <c r="G2" s="8">
        <v>0</v>
      </c>
      <c r="H2" s="8">
        <v>1.22</v>
      </c>
      <c r="I2" s="8">
        <v>1.76</v>
      </c>
      <c r="J2" s="8">
        <v>2.65</v>
      </c>
      <c r="K2" s="8">
        <v>2.69</v>
      </c>
      <c r="L2" s="8">
        <v>3</v>
      </c>
      <c r="M2" s="8">
        <v>3.16</v>
      </c>
      <c r="N2" s="8">
        <v>3.92</v>
      </c>
      <c r="O2" s="8">
        <v>3.94</v>
      </c>
      <c r="P2" s="8">
        <v>3.98</v>
      </c>
      <c r="Q2" s="8">
        <v>4.0599999999999996</v>
      </c>
      <c r="R2" s="8">
        <v>4.1100000000000003</v>
      </c>
      <c r="S2" s="8">
        <v>4.1749999999999998</v>
      </c>
      <c r="T2" s="8">
        <v>4.18</v>
      </c>
      <c r="W2" s="8" t="s">
        <v>65</v>
      </c>
    </row>
    <row r="3" spans="1:36" x14ac:dyDescent="0.3">
      <c r="A3" s="8">
        <v>716</v>
      </c>
      <c r="B3" s="8">
        <v>1</v>
      </c>
      <c r="C3" s="8">
        <v>0.3</v>
      </c>
      <c r="D3" s="8">
        <f>C3*0.3</f>
        <v>0.09</v>
      </c>
      <c r="E3" s="8">
        <v>716</v>
      </c>
      <c r="F3" s="8">
        <v>7069</v>
      </c>
      <c r="G3" s="9">
        <v>49</v>
      </c>
      <c r="H3" s="9">
        <v>18</v>
      </c>
      <c r="I3" s="9">
        <v>14</v>
      </c>
      <c r="J3" s="10">
        <v>1.6</v>
      </c>
      <c r="K3" s="9">
        <v>5</v>
      </c>
      <c r="L3" s="9">
        <v>3</v>
      </c>
      <c r="M3" s="9">
        <v>6</v>
      </c>
      <c r="N3" s="11"/>
      <c r="O3" s="11"/>
      <c r="P3" s="11"/>
      <c r="Q3" s="10">
        <v>1.4</v>
      </c>
      <c r="R3" s="10">
        <v>0.6</v>
      </c>
      <c r="S3" s="11"/>
      <c r="T3" s="10">
        <v>0.5</v>
      </c>
      <c r="U3" s="10"/>
      <c r="W3" s="8" t="s">
        <v>100</v>
      </c>
      <c r="AF3" s="11"/>
      <c r="AG3" s="11"/>
      <c r="AI3" s="10"/>
      <c r="AJ3" s="10"/>
    </row>
    <row r="4" spans="1:36" x14ac:dyDescent="0.3">
      <c r="A4" s="8">
        <v>754.6</v>
      </c>
      <c r="B4" s="8">
        <v>1</v>
      </c>
      <c r="C4" s="8">
        <v>0.5</v>
      </c>
      <c r="D4" s="8">
        <f t="shared" ref="D4:D57" si="1">C4*0.3</f>
        <v>0.15</v>
      </c>
      <c r="E4" s="8">
        <v>755</v>
      </c>
      <c r="F4" s="8">
        <v>7106</v>
      </c>
      <c r="G4" s="9">
        <v>15</v>
      </c>
      <c r="H4" s="9">
        <v>64</v>
      </c>
      <c r="I4" s="9">
        <v>4</v>
      </c>
      <c r="J4" s="11"/>
      <c r="K4" s="9">
        <v>11</v>
      </c>
      <c r="L4" s="9">
        <v>3</v>
      </c>
      <c r="M4" s="11"/>
      <c r="N4" s="10">
        <v>1.5</v>
      </c>
      <c r="O4" s="11"/>
      <c r="P4" s="11"/>
      <c r="Q4" s="11"/>
      <c r="R4" s="11"/>
      <c r="S4" s="11"/>
      <c r="T4" s="10">
        <v>1.5</v>
      </c>
      <c r="U4" s="10"/>
      <c r="AF4" s="11"/>
      <c r="AG4" s="11"/>
      <c r="AI4" s="10"/>
      <c r="AJ4" s="10"/>
    </row>
    <row r="5" spans="1:36" x14ac:dyDescent="0.3">
      <c r="A5" s="8">
        <v>832.2</v>
      </c>
      <c r="B5" s="8">
        <v>1.5</v>
      </c>
      <c r="C5" s="8">
        <v>0.3</v>
      </c>
      <c r="D5" s="8">
        <f t="shared" si="1"/>
        <v>0.09</v>
      </c>
      <c r="E5" s="8">
        <v>832</v>
      </c>
      <c r="F5" s="8">
        <v>7181</v>
      </c>
      <c r="G5" s="9">
        <v>38</v>
      </c>
      <c r="H5" s="9">
        <v>17</v>
      </c>
      <c r="I5" s="11"/>
      <c r="J5" s="11"/>
      <c r="K5" s="9">
        <v>4</v>
      </c>
      <c r="L5" s="11"/>
      <c r="M5" s="11"/>
      <c r="N5" s="9">
        <v>3</v>
      </c>
      <c r="O5" s="11"/>
      <c r="P5" s="9">
        <v>9</v>
      </c>
      <c r="Q5" s="9">
        <v>22</v>
      </c>
      <c r="R5" s="11"/>
      <c r="S5" s="10">
        <v>0.8</v>
      </c>
      <c r="T5" s="11"/>
      <c r="U5" s="10"/>
      <c r="W5" s="8" t="s">
        <v>105</v>
      </c>
      <c r="X5" s="8" t="s">
        <v>70</v>
      </c>
      <c r="Y5" s="8" t="s">
        <v>106</v>
      </c>
      <c r="AF5" s="10"/>
      <c r="AG5" s="10"/>
      <c r="AI5" s="11"/>
      <c r="AJ5" s="11"/>
    </row>
    <row r="6" spans="1:36" x14ac:dyDescent="0.3">
      <c r="A6" s="8">
        <v>848.1</v>
      </c>
      <c r="B6" s="8">
        <v>1</v>
      </c>
      <c r="C6" s="8">
        <v>1.2</v>
      </c>
      <c r="D6" s="8">
        <f t="shared" si="1"/>
        <v>0.36</v>
      </c>
      <c r="E6" s="8">
        <v>848</v>
      </c>
      <c r="F6" s="8">
        <v>7197</v>
      </c>
      <c r="G6" s="9">
        <v>2</v>
      </c>
      <c r="H6" s="9">
        <v>67</v>
      </c>
      <c r="I6" s="12">
        <v>0.5</v>
      </c>
      <c r="J6" s="11"/>
      <c r="K6" s="12">
        <v>1.1000000000000001</v>
      </c>
      <c r="L6" s="11"/>
      <c r="M6" s="11"/>
      <c r="N6" s="9">
        <v>4</v>
      </c>
      <c r="O6" s="11"/>
      <c r="P6" s="10">
        <v>1.8</v>
      </c>
      <c r="Q6" s="9">
        <v>3</v>
      </c>
      <c r="R6" s="11"/>
      <c r="S6" s="11"/>
      <c r="T6" s="9">
        <v>16</v>
      </c>
      <c r="U6" s="10"/>
      <c r="W6" s="8" t="s">
        <v>107</v>
      </c>
      <c r="X6" s="8" t="s">
        <v>71</v>
      </c>
      <c r="Y6" s="8" t="s">
        <v>108</v>
      </c>
      <c r="AF6" s="10"/>
      <c r="AG6" s="10"/>
      <c r="AI6" s="11"/>
      <c r="AJ6" s="11"/>
    </row>
    <row r="7" spans="1:36" x14ac:dyDescent="0.3">
      <c r="A7" s="8">
        <v>879.3</v>
      </c>
      <c r="B7" s="8">
        <v>1</v>
      </c>
      <c r="C7" s="8">
        <v>0.3</v>
      </c>
      <c r="D7" s="8">
        <f t="shared" si="1"/>
        <v>0.09</v>
      </c>
      <c r="E7" s="8">
        <v>879</v>
      </c>
      <c r="F7" s="8">
        <v>7227</v>
      </c>
      <c r="G7" s="9">
        <v>59</v>
      </c>
      <c r="H7" s="11"/>
      <c r="I7" s="9">
        <v>7</v>
      </c>
      <c r="J7" s="11"/>
      <c r="K7" s="9">
        <v>10</v>
      </c>
      <c r="L7" s="11"/>
      <c r="M7" s="11"/>
      <c r="N7" s="10">
        <v>1.5</v>
      </c>
      <c r="O7" s="11"/>
      <c r="P7" s="11"/>
      <c r="Q7" s="9">
        <v>2</v>
      </c>
      <c r="R7" s="11"/>
      <c r="S7" s="11"/>
      <c r="T7" s="9">
        <v>8</v>
      </c>
      <c r="U7" s="10"/>
      <c r="W7" s="11" t="s">
        <v>109</v>
      </c>
      <c r="X7" s="8" t="s">
        <v>72</v>
      </c>
      <c r="Y7" s="8" t="s">
        <v>73</v>
      </c>
      <c r="Z7" s="8" t="s">
        <v>74</v>
      </c>
      <c r="AA7" s="8" t="s">
        <v>200</v>
      </c>
      <c r="AF7" s="11"/>
      <c r="AG7" s="11"/>
      <c r="AI7" s="9"/>
      <c r="AJ7" s="9"/>
    </row>
    <row r="8" spans="1:36" x14ac:dyDescent="0.3">
      <c r="A8" s="8">
        <v>888.5</v>
      </c>
      <c r="B8" s="8">
        <v>1</v>
      </c>
      <c r="C8" s="8">
        <v>1.9</v>
      </c>
      <c r="D8" s="8">
        <f t="shared" si="1"/>
        <v>0.56999999999999995</v>
      </c>
      <c r="E8" s="8">
        <v>889</v>
      </c>
      <c r="F8" s="8">
        <v>7236</v>
      </c>
      <c r="G8" s="9">
        <v>93</v>
      </c>
      <c r="H8" s="10">
        <v>1.8</v>
      </c>
      <c r="I8" s="10">
        <v>0.2</v>
      </c>
      <c r="J8" s="10">
        <v>3</v>
      </c>
      <c r="K8" s="10">
        <v>1.8</v>
      </c>
      <c r="L8" s="11"/>
      <c r="M8" s="11"/>
      <c r="N8" s="11"/>
      <c r="O8" s="11"/>
      <c r="P8" s="11"/>
      <c r="Q8" s="11"/>
      <c r="R8" s="11"/>
      <c r="S8" s="11"/>
      <c r="T8" s="11"/>
      <c r="U8" s="10"/>
      <c r="W8" s="8" t="s">
        <v>101</v>
      </c>
      <c r="AF8" s="11"/>
      <c r="AG8" s="11"/>
      <c r="AI8" s="9"/>
      <c r="AJ8" s="9"/>
    </row>
    <row r="9" spans="1:36" x14ac:dyDescent="0.3">
      <c r="A9" s="8">
        <v>929</v>
      </c>
      <c r="B9" s="8">
        <v>1</v>
      </c>
      <c r="C9" s="8">
        <v>2.2000000000000002</v>
      </c>
      <c r="D9" s="8">
        <f t="shared" si="1"/>
        <v>0.66</v>
      </c>
      <c r="E9" s="8">
        <v>929</v>
      </c>
      <c r="F9" s="8">
        <v>7275</v>
      </c>
      <c r="G9" s="9">
        <v>69</v>
      </c>
      <c r="H9" s="9">
        <v>24</v>
      </c>
      <c r="I9" s="11"/>
      <c r="J9" s="11"/>
      <c r="K9" s="12">
        <v>1.1000000000000001</v>
      </c>
      <c r="L9" s="11"/>
      <c r="M9" s="11"/>
      <c r="N9" s="11"/>
      <c r="O9" s="11"/>
      <c r="P9" s="10">
        <v>0.8</v>
      </c>
      <c r="Q9" s="10">
        <v>0.9</v>
      </c>
      <c r="R9" s="11"/>
      <c r="S9" s="10">
        <v>0.4</v>
      </c>
      <c r="T9" s="11"/>
      <c r="U9" s="10"/>
      <c r="W9" s="8" t="s">
        <v>110</v>
      </c>
      <c r="X9" s="8" t="s">
        <v>75</v>
      </c>
      <c r="Y9" s="8" t="s">
        <v>76</v>
      </c>
      <c r="Z9" s="8" t="s">
        <v>111</v>
      </c>
      <c r="AF9" s="11"/>
      <c r="AG9" s="11"/>
      <c r="AI9" s="11"/>
      <c r="AJ9" s="11"/>
    </row>
    <row r="10" spans="1:36" x14ac:dyDescent="0.3">
      <c r="A10" s="8">
        <v>1021</v>
      </c>
      <c r="B10" s="8">
        <v>1</v>
      </c>
      <c r="C10" s="8">
        <v>3.1</v>
      </c>
      <c r="D10" s="8">
        <f t="shared" si="1"/>
        <v>0.92999999999999994</v>
      </c>
      <c r="E10" s="8">
        <v>1021</v>
      </c>
      <c r="F10" s="8">
        <v>7365</v>
      </c>
      <c r="G10" s="9">
        <v>10</v>
      </c>
      <c r="H10" s="9">
        <v>73</v>
      </c>
      <c r="I10" s="9">
        <v>8</v>
      </c>
      <c r="J10" s="11"/>
      <c r="K10" s="10">
        <v>0.5</v>
      </c>
      <c r="L10" s="10">
        <v>0.3</v>
      </c>
      <c r="M10" s="11"/>
      <c r="N10" s="10">
        <v>0.8</v>
      </c>
      <c r="O10" s="11"/>
      <c r="P10" s="9">
        <v>3</v>
      </c>
      <c r="Q10" s="9">
        <v>2</v>
      </c>
      <c r="R10" s="11"/>
      <c r="S10" s="11"/>
      <c r="T10" s="10">
        <v>0.5</v>
      </c>
      <c r="U10" s="10"/>
      <c r="W10" s="8" t="s">
        <v>110</v>
      </c>
      <c r="X10" s="8" t="s">
        <v>77</v>
      </c>
      <c r="Y10" s="8" t="s">
        <v>112</v>
      </c>
      <c r="AF10" s="10"/>
      <c r="AG10" s="10"/>
      <c r="AI10" s="11"/>
      <c r="AJ10" s="11"/>
    </row>
    <row r="11" spans="1:36" x14ac:dyDescent="0.3">
      <c r="A11" s="8">
        <v>1056.9000000000001</v>
      </c>
      <c r="B11" s="8">
        <v>1.6</v>
      </c>
      <c r="C11" s="8">
        <v>0.5</v>
      </c>
      <c r="D11" s="8">
        <f t="shared" si="1"/>
        <v>0.15</v>
      </c>
      <c r="E11" s="8">
        <v>1057</v>
      </c>
      <c r="F11" s="8">
        <v>7400</v>
      </c>
      <c r="G11" s="11"/>
      <c r="H11" s="11"/>
      <c r="I11" s="9">
        <v>2</v>
      </c>
      <c r="J11" s="9">
        <v>13</v>
      </c>
      <c r="K11" s="11"/>
      <c r="L11" s="9">
        <v>14</v>
      </c>
      <c r="M11" s="9">
        <v>47</v>
      </c>
      <c r="N11" s="11"/>
      <c r="O11" s="9">
        <v>5</v>
      </c>
      <c r="P11" s="11"/>
      <c r="Q11" s="11"/>
      <c r="R11" s="9">
        <v>8</v>
      </c>
      <c r="S11" s="11"/>
      <c r="T11" s="11"/>
      <c r="U11" s="10"/>
      <c r="W11" s="8" t="s">
        <v>102</v>
      </c>
      <c r="AF11" s="11"/>
      <c r="AG11" s="11"/>
      <c r="AI11" s="10"/>
      <c r="AJ11" s="10"/>
    </row>
    <row r="12" spans="1:36" x14ac:dyDescent="0.3">
      <c r="A12" s="8">
        <v>1112.2</v>
      </c>
      <c r="B12" s="8">
        <v>0.6</v>
      </c>
      <c r="C12" s="8">
        <v>0.4</v>
      </c>
      <c r="D12" s="8">
        <f t="shared" si="1"/>
        <v>0.12</v>
      </c>
      <c r="E12" s="8">
        <v>1165</v>
      </c>
      <c r="F12" s="8">
        <v>7505</v>
      </c>
      <c r="G12" s="10">
        <v>0.3</v>
      </c>
      <c r="H12" s="9">
        <v>18</v>
      </c>
      <c r="I12" s="10">
        <v>0.7</v>
      </c>
      <c r="J12" s="9">
        <v>7</v>
      </c>
      <c r="K12" s="11"/>
      <c r="L12" s="9">
        <v>4</v>
      </c>
      <c r="M12" s="9">
        <v>4</v>
      </c>
      <c r="N12" s="11"/>
      <c r="O12" s="9">
        <v>2</v>
      </c>
      <c r="P12" s="11"/>
      <c r="Q12" s="9">
        <v>50</v>
      </c>
      <c r="R12" s="11"/>
      <c r="S12" s="11"/>
      <c r="T12" s="9">
        <v>3</v>
      </c>
      <c r="U12" s="10"/>
      <c r="W12" s="8" t="s">
        <v>113</v>
      </c>
      <c r="X12" s="8" t="s">
        <v>79</v>
      </c>
      <c r="Y12" s="8" t="s">
        <v>114</v>
      </c>
      <c r="AF12" s="11"/>
      <c r="AG12" s="11"/>
      <c r="AI12" s="11"/>
      <c r="AJ12" s="11"/>
    </row>
    <row r="13" spans="1:36" x14ac:dyDescent="0.3">
      <c r="A13" s="8">
        <v>1165.4000000000001</v>
      </c>
      <c r="B13" s="8">
        <v>0.7</v>
      </c>
      <c r="C13" s="8">
        <v>0.8</v>
      </c>
      <c r="D13" s="8">
        <f t="shared" si="1"/>
        <v>0.24</v>
      </c>
      <c r="E13" s="8">
        <v>1212</v>
      </c>
      <c r="F13" s="8">
        <v>7551</v>
      </c>
      <c r="G13" s="10">
        <v>0.2</v>
      </c>
      <c r="H13" s="11"/>
      <c r="I13" s="10">
        <v>0.3</v>
      </c>
      <c r="J13" s="10">
        <v>0.5</v>
      </c>
      <c r="K13" s="11"/>
      <c r="L13" s="9">
        <v>2</v>
      </c>
      <c r="M13" s="9">
        <v>95</v>
      </c>
      <c r="N13" s="11"/>
      <c r="O13" s="11"/>
      <c r="P13" s="11"/>
      <c r="Q13" s="11"/>
      <c r="R13" s="11"/>
      <c r="S13" s="11"/>
      <c r="T13" s="11"/>
      <c r="U13" s="10"/>
      <c r="W13" s="8" t="s">
        <v>115</v>
      </c>
      <c r="X13" s="8" t="s">
        <v>116</v>
      </c>
      <c r="Y13" s="8" t="s">
        <v>117</v>
      </c>
      <c r="AF13" s="11"/>
      <c r="AG13" s="11"/>
      <c r="AI13" s="9"/>
      <c r="AJ13" s="9"/>
    </row>
    <row r="14" spans="1:36" x14ac:dyDescent="0.3">
      <c r="A14" s="8">
        <v>1181.4000000000001</v>
      </c>
      <c r="B14" s="8">
        <v>0.7</v>
      </c>
      <c r="C14" s="8">
        <v>0.4</v>
      </c>
      <c r="D14" s="8">
        <f t="shared" si="1"/>
        <v>0.12</v>
      </c>
      <c r="E14" s="8">
        <v>1225</v>
      </c>
      <c r="F14" s="8">
        <v>7563</v>
      </c>
      <c r="G14" s="9">
        <v>34</v>
      </c>
      <c r="H14" s="9">
        <v>35</v>
      </c>
      <c r="I14" s="11"/>
      <c r="J14" s="11"/>
      <c r="K14" s="9">
        <v>22</v>
      </c>
      <c r="L14" s="11"/>
      <c r="M14" s="11"/>
      <c r="N14" s="10">
        <v>1.6</v>
      </c>
      <c r="O14" s="11"/>
      <c r="P14" s="10">
        <v>0.5</v>
      </c>
      <c r="Q14" s="9">
        <v>6</v>
      </c>
      <c r="R14" s="11"/>
      <c r="S14" s="11"/>
      <c r="T14" s="10">
        <v>0.9</v>
      </c>
      <c r="U14" s="10"/>
      <c r="AF14" s="11"/>
      <c r="AG14" s="11"/>
      <c r="AI14" s="11"/>
      <c r="AJ14" s="11"/>
    </row>
    <row r="15" spans="1:36" x14ac:dyDescent="0.3">
      <c r="A15" s="8">
        <v>1212.4000000000001</v>
      </c>
      <c r="B15" s="8">
        <v>0.7</v>
      </c>
      <c r="C15" s="8">
        <v>21</v>
      </c>
      <c r="D15" s="8">
        <v>3</v>
      </c>
      <c r="E15" s="8">
        <v>1266</v>
      </c>
      <c r="F15" s="8">
        <v>7602</v>
      </c>
      <c r="G15" s="9">
        <v>33</v>
      </c>
      <c r="H15" s="11">
        <v>1.1000000000000001</v>
      </c>
      <c r="I15" s="9">
        <v>19</v>
      </c>
      <c r="J15" s="10">
        <v>1.9</v>
      </c>
      <c r="K15" s="9">
        <v>18</v>
      </c>
      <c r="L15" s="9">
        <v>8</v>
      </c>
      <c r="M15" s="9">
        <v>5</v>
      </c>
      <c r="N15" s="11"/>
      <c r="O15" s="11"/>
      <c r="P15" s="11"/>
      <c r="Q15" s="9">
        <v>2</v>
      </c>
      <c r="R15" s="11"/>
      <c r="S15" s="11"/>
      <c r="T15" s="9">
        <v>3</v>
      </c>
      <c r="U15" s="10"/>
      <c r="W15" s="8" t="s">
        <v>118</v>
      </c>
      <c r="X15" s="8" t="s">
        <v>80</v>
      </c>
      <c r="Y15" s="8" t="s">
        <v>81</v>
      </c>
      <c r="Z15" s="8" t="s">
        <v>82</v>
      </c>
      <c r="AA15" s="8" t="s">
        <v>201</v>
      </c>
      <c r="AF15" s="11"/>
      <c r="AG15" s="11"/>
      <c r="AI15" s="10"/>
      <c r="AJ15" s="10"/>
    </row>
    <row r="16" spans="1:36" x14ac:dyDescent="0.3">
      <c r="A16" s="8">
        <v>1225.3</v>
      </c>
      <c r="B16" s="8">
        <v>0.7</v>
      </c>
      <c r="C16" s="8">
        <v>1.5</v>
      </c>
      <c r="D16" s="8">
        <f t="shared" si="1"/>
        <v>0.44999999999999996</v>
      </c>
      <c r="E16" s="8">
        <v>1285</v>
      </c>
      <c r="F16" s="8">
        <v>7621</v>
      </c>
      <c r="G16" s="9">
        <v>78</v>
      </c>
      <c r="H16" s="11"/>
      <c r="I16" s="9">
        <v>10</v>
      </c>
      <c r="J16" s="11"/>
      <c r="K16" s="11"/>
      <c r="L16" s="11"/>
      <c r="M16" s="9">
        <v>3</v>
      </c>
      <c r="N16" s="11"/>
      <c r="O16" s="11"/>
      <c r="P16" s="11"/>
      <c r="Q16" s="9">
        <v>2</v>
      </c>
      <c r="R16" s="11"/>
      <c r="S16" s="11"/>
      <c r="T16" s="9">
        <v>3</v>
      </c>
      <c r="U16" s="10"/>
      <c r="W16" s="8" t="s">
        <v>119</v>
      </c>
      <c r="X16" s="8" t="s">
        <v>83</v>
      </c>
      <c r="Y16" s="8" t="s">
        <v>84</v>
      </c>
      <c r="Z16" s="8" t="s">
        <v>120</v>
      </c>
      <c r="AF16" s="11"/>
      <c r="AG16" s="11"/>
      <c r="AI16" s="9"/>
      <c r="AJ16" s="9"/>
    </row>
    <row r="17" spans="1:36" x14ac:dyDescent="0.3">
      <c r="A17" s="8">
        <v>1265.7</v>
      </c>
      <c r="B17" s="8">
        <v>0.8</v>
      </c>
      <c r="C17" s="8">
        <v>2.8</v>
      </c>
      <c r="D17" s="8">
        <f t="shared" si="1"/>
        <v>0.84</v>
      </c>
      <c r="E17" s="8">
        <v>1340</v>
      </c>
      <c r="F17" s="8">
        <v>7674</v>
      </c>
      <c r="G17" s="10">
        <v>0.8</v>
      </c>
      <c r="H17" s="11"/>
      <c r="I17" s="9">
        <v>57</v>
      </c>
      <c r="J17" s="9">
        <v>13</v>
      </c>
      <c r="K17" s="11"/>
      <c r="L17" s="9">
        <v>9</v>
      </c>
      <c r="M17" s="10">
        <v>1.8</v>
      </c>
      <c r="N17" s="11"/>
      <c r="O17" s="11"/>
      <c r="P17" s="11"/>
      <c r="Q17" s="11"/>
      <c r="R17" s="11"/>
      <c r="S17" s="9">
        <v>5</v>
      </c>
      <c r="T17" s="11"/>
      <c r="U17" s="10"/>
      <c r="W17" s="8" t="s">
        <v>121</v>
      </c>
      <c r="X17" s="8" t="s">
        <v>85</v>
      </c>
      <c r="Y17" s="8" t="s">
        <v>86</v>
      </c>
      <c r="Z17" s="8" t="s">
        <v>87</v>
      </c>
      <c r="AA17" s="8" t="s">
        <v>202</v>
      </c>
      <c r="AF17" s="11"/>
      <c r="AG17" s="11"/>
      <c r="AI17" s="9"/>
      <c r="AJ17" s="9"/>
    </row>
    <row r="18" spans="1:36" x14ac:dyDescent="0.3">
      <c r="A18" s="8">
        <v>1284.5</v>
      </c>
      <c r="B18" s="8">
        <v>0.5</v>
      </c>
      <c r="C18" s="8">
        <v>1.7</v>
      </c>
      <c r="D18" s="8">
        <f t="shared" si="1"/>
        <v>0.51</v>
      </c>
      <c r="E18" s="8">
        <v>1354</v>
      </c>
      <c r="F18" s="8">
        <v>7688</v>
      </c>
      <c r="G18" s="9">
        <v>70</v>
      </c>
      <c r="H18" s="10">
        <v>1</v>
      </c>
      <c r="I18" s="10">
        <v>0.7</v>
      </c>
      <c r="J18" s="11"/>
      <c r="K18" s="11"/>
      <c r="L18" s="9">
        <v>10</v>
      </c>
      <c r="M18" s="11"/>
      <c r="N18" s="11"/>
      <c r="O18" s="11"/>
      <c r="P18" s="11"/>
      <c r="Q18" s="9">
        <v>6</v>
      </c>
      <c r="R18" s="11"/>
      <c r="S18" s="9">
        <v>4</v>
      </c>
      <c r="T18" s="9">
        <v>3</v>
      </c>
      <c r="U18" s="10"/>
      <c r="W18" s="8" t="s">
        <v>122</v>
      </c>
      <c r="X18" s="8" t="s">
        <v>88</v>
      </c>
      <c r="Y18" s="8" t="s">
        <v>89</v>
      </c>
      <c r="Z18" s="8" t="s">
        <v>79</v>
      </c>
      <c r="AF18" s="9"/>
      <c r="AG18" s="9"/>
      <c r="AI18" s="11"/>
      <c r="AJ18" s="11"/>
    </row>
    <row r="19" spans="1:36" x14ac:dyDescent="0.3">
      <c r="A19" s="8">
        <v>1324.2</v>
      </c>
      <c r="B19" s="8">
        <v>0.8</v>
      </c>
      <c r="C19" s="8">
        <v>0.8</v>
      </c>
      <c r="D19" s="8">
        <f t="shared" si="1"/>
        <v>0.24</v>
      </c>
      <c r="E19" s="8">
        <v>1375</v>
      </c>
      <c r="F19" s="8">
        <v>7709</v>
      </c>
      <c r="G19" s="9">
        <v>83</v>
      </c>
      <c r="H19" s="10">
        <v>0.5</v>
      </c>
      <c r="I19" s="10">
        <v>0.4</v>
      </c>
      <c r="J19" s="9">
        <v>4</v>
      </c>
      <c r="K19" s="11"/>
      <c r="L19" s="10">
        <v>1</v>
      </c>
      <c r="M19" s="11"/>
      <c r="N19" s="10">
        <v>0.6</v>
      </c>
      <c r="O19" s="11"/>
      <c r="P19" s="11"/>
      <c r="Q19" s="11"/>
      <c r="R19" s="9">
        <v>2</v>
      </c>
      <c r="S19" s="11"/>
      <c r="T19" s="9">
        <v>2</v>
      </c>
      <c r="U19" s="10"/>
      <c r="W19" s="8" t="s">
        <v>123</v>
      </c>
      <c r="X19" s="8" t="s">
        <v>90</v>
      </c>
      <c r="Y19" s="8" t="s">
        <v>91</v>
      </c>
      <c r="Z19" s="8" t="s">
        <v>124</v>
      </c>
      <c r="AF19" s="9"/>
      <c r="AG19" s="9"/>
      <c r="AI19" s="9"/>
      <c r="AJ19" s="9"/>
    </row>
    <row r="20" spans="1:36" x14ac:dyDescent="0.3">
      <c r="A20" s="8">
        <v>1339.7</v>
      </c>
      <c r="B20" s="8">
        <v>0.8</v>
      </c>
      <c r="C20" s="8">
        <v>1.3</v>
      </c>
      <c r="D20" s="8">
        <f t="shared" si="1"/>
        <v>0.39</v>
      </c>
      <c r="E20" s="8">
        <v>1415</v>
      </c>
      <c r="F20" s="8">
        <v>7747</v>
      </c>
      <c r="G20" s="11"/>
      <c r="H20" s="10">
        <v>0.6</v>
      </c>
      <c r="I20" s="10">
        <v>2.4</v>
      </c>
      <c r="J20" s="9">
        <v>43</v>
      </c>
      <c r="K20" s="11"/>
      <c r="L20" s="11"/>
      <c r="M20" s="9">
        <v>16</v>
      </c>
      <c r="N20" s="11"/>
      <c r="O20" s="9">
        <v>10</v>
      </c>
      <c r="P20" s="11"/>
      <c r="Q20" s="11"/>
      <c r="R20" s="9">
        <v>6</v>
      </c>
      <c r="S20" s="11"/>
      <c r="T20" s="11"/>
      <c r="U20" s="10"/>
      <c r="W20" s="8" t="s">
        <v>104</v>
      </c>
      <c r="X20" s="8" t="s">
        <v>125</v>
      </c>
      <c r="AF20" s="11"/>
      <c r="AG20" s="11"/>
      <c r="AI20" s="9"/>
      <c r="AJ20" s="9"/>
    </row>
    <row r="21" spans="1:36" x14ac:dyDescent="0.3">
      <c r="A21" s="8">
        <v>1353.8</v>
      </c>
      <c r="B21" s="8">
        <v>0.8</v>
      </c>
      <c r="C21" s="8">
        <v>2.8</v>
      </c>
      <c r="D21" s="8">
        <f t="shared" si="1"/>
        <v>0.84</v>
      </c>
      <c r="E21" s="8">
        <v>1448</v>
      </c>
      <c r="F21" s="8">
        <v>7779</v>
      </c>
      <c r="G21" s="9">
        <v>18</v>
      </c>
      <c r="H21" s="12">
        <v>11</v>
      </c>
      <c r="I21" s="9">
        <v>40</v>
      </c>
      <c r="J21" s="10">
        <v>1.3</v>
      </c>
      <c r="K21" s="9">
        <v>9</v>
      </c>
      <c r="L21" s="9">
        <v>4</v>
      </c>
      <c r="M21" s="9">
        <v>2</v>
      </c>
      <c r="N21" s="11"/>
      <c r="O21" s="11"/>
      <c r="P21" s="11"/>
      <c r="Q21" s="12">
        <v>1.1000000000000001</v>
      </c>
      <c r="R21" s="11"/>
      <c r="S21" s="11"/>
      <c r="T21" s="9">
        <v>7</v>
      </c>
      <c r="U21" s="10"/>
      <c r="W21" s="8" t="s">
        <v>126</v>
      </c>
      <c r="X21" s="8" t="s">
        <v>81</v>
      </c>
      <c r="Y21" s="8" t="s">
        <v>92</v>
      </c>
      <c r="Z21" s="8" t="s">
        <v>127</v>
      </c>
      <c r="AF21" s="11"/>
      <c r="AG21" s="11"/>
      <c r="AI21" s="11"/>
      <c r="AJ21" s="11"/>
    </row>
    <row r="22" spans="1:36" x14ac:dyDescent="0.3">
      <c r="A22" s="8">
        <v>1362.3</v>
      </c>
      <c r="B22" s="8">
        <v>0.8</v>
      </c>
      <c r="C22" s="8">
        <v>0.6</v>
      </c>
      <c r="D22" s="8">
        <f t="shared" si="1"/>
        <v>0.18</v>
      </c>
      <c r="E22" s="8">
        <v>1452</v>
      </c>
      <c r="F22" s="8">
        <v>7784</v>
      </c>
      <c r="G22" s="10">
        <v>1.7</v>
      </c>
      <c r="H22" s="10">
        <v>1.2</v>
      </c>
      <c r="I22" s="9">
        <v>18</v>
      </c>
      <c r="J22" s="9">
        <v>8</v>
      </c>
      <c r="K22" s="11"/>
      <c r="L22" s="11"/>
      <c r="M22" s="9">
        <v>5</v>
      </c>
      <c r="N22" s="12">
        <v>11</v>
      </c>
      <c r="O22" s="11"/>
      <c r="P22" s="11"/>
      <c r="Q22" s="10">
        <v>1.2</v>
      </c>
      <c r="R22" s="9">
        <v>6</v>
      </c>
      <c r="S22" s="9">
        <v>36</v>
      </c>
      <c r="T22" s="11"/>
      <c r="U22" s="10"/>
      <c r="W22" s="8" t="s">
        <v>128</v>
      </c>
      <c r="X22" s="8" t="s">
        <v>93</v>
      </c>
      <c r="Y22" s="8" t="s">
        <v>94</v>
      </c>
      <c r="Z22" s="8" t="s">
        <v>129</v>
      </c>
      <c r="AF22" s="11"/>
      <c r="AG22" s="11"/>
      <c r="AI22" s="9"/>
      <c r="AJ22" s="9"/>
    </row>
    <row r="23" spans="1:36" x14ac:dyDescent="0.3">
      <c r="A23" s="8">
        <v>1375.1</v>
      </c>
      <c r="B23" s="8">
        <v>0.8</v>
      </c>
      <c r="C23" s="8">
        <v>4.4000000000000004</v>
      </c>
      <c r="D23" s="8">
        <f t="shared" si="1"/>
        <v>1.32</v>
      </c>
      <c r="E23" s="8">
        <v>1468</v>
      </c>
      <c r="F23" s="8">
        <v>7799</v>
      </c>
      <c r="G23" s="9">
        <v>83</v>
      </c>
      <c r="H23" s="9">
        <v>9</v>
      </c>
      <c r="I23" s="11"/>
      <c r="J23" s="11"/>
      <c r="K23" s="11"/>
      <c r="L23" s="11"/>
      <c r="M23" s="11"/>
      <c r="N23" s="11"/>
      <c r="O23" s="11"/>
      <c r="P23" s="11"/>
      <c r="Q23" s="10">
        <v>0.3</v>
      </c>
      <c r="R23" s="11"/>
      <c r="S23" s="11"/>
      <c r="T23" s="11"/>
      <c r="U23" s="10"/>
      <c r="W23" s="8" t="s">
        <v>130</v>
      </c>
      <c r="X23" s="8" t="s">
        <v>95</v>
      </c>
      <c r="Y23" s="8" t="s">
        <v>78</v>
      </c>
      <c r="Z23" s="8" t="s">
        <v>89</v>
      </c>
      <c r="AA23" s="8" t="s">
        <v>203</v>
      </c>
      <c r="AF23" s="9"/>
      <c r="AG23" s="9"/>
      <c r="AI23" s="11"/>
      <c r="AJ23" s="11"/>
    </row>
    <row r="24" spans="1:36" x14ac:dyDescent="0.3">
      <c r="A24" s="8">
        <v>1414.7</v>
      </c>
      <c r="B24" s="8">
        <v>0.9</v>
      </c>
      <c r="C24" s="8">
        <v>1.7</v>
      </c>
      <c r="D24" s="8">
        <f t="shared" si="1"/>
        <v>0.51</v>
      </c>
      <c r="E24" s="8">
        <v>1511</v>
      </c>
      <c r="F24" s="8">
        <v>7841</v>
      </c>
      <c r="G24" s="9">
        <v>21</v>
      </c>
      <c r="H24" s="9">
        <v>37</v>
      </c>
      <c r="I24" s="10">
        <v>1.9</v>
      </c>
      <c r="J24" s="11"/>
      <c r="K24" s="11"/>
      <c r="L24" s="9">
        <v>4</v>
      </c>
      <c r="M24" s="11"/>
      <c r="N24" s="10">
        <v>0.2</v>
      </c>
      <c r="O24" s="10">
        <v>0.5</v>
      </c>
      <c r="P24" s="11"/>
      <c r="Q24" s="9">
        <v>2</v>
      </c>
      <c r="R24" s="11"/>
      <c r="S24" s="9">
        <v>3</v>
      </c>
      <c r="T24" s="9">
        <v>28</v>
      </c>
      <c r="U24" s="10"/>
      <c r="W24" s="8" t="s">
        <v>131</v>
      </c>
      <c r="X24" s="8" t="s">
        <v>132</v>
      </c>
      <c r="Y24" s="8" t="s">
        <v>133</v>
      </c>
      <c r="AF24" s="11"/>
      <c r="AG24" s="11"/>
      <c r="AI24" s="11"/>
      <c r="AJ24" s="11"/>
    </row>
    <row r="25" spans="1:36" x14ac:dyDescent="0.3">
      <c r="A25" s="8">
        <v>1447.5</v>
      </c>
      <c r="B25" s="8">
        <v>0.9</v>
      </c>
      <c r="C25" s="8">
        <v>1.5</v>
      </c>
      <c r="D25" s="8">
        <f t="shared" si="1"/>
        <v>0.44999999999999996</v>
      </c>
      <c r="E25" s="8">
        <v>1542</v>
      </c>
      <c r="F25" s="8">
        <v>7871</v>
      </c>
      <c r="G25" s="9">
        <v>61</v>
      </c>
      <c r="H25" s="9">
        <v>13</v>
      </c>
      <c r="I25" s="9">
        <v>17</v>
      </c>
      <c r="J25" s="11"/>
      <c r="K25" s="11"/>
      <c r="L25" s="11"/>
      <c r="M25" s="11"/>
      <c r="N25" s="11"/>
      <c r="O25" s="11"/>
      <c r="P25" s="11"/>
      <c r="Q25" s="11"/>
      <c r="R25" s="11"/>
      <c r="S25" s="9">
        <v>5</v>
      </c>
      <c r="T25" s="11"/>
      <c r="U25" s="10"/>
      <c r="W25" s="8" t="s">
        <v>134</v>
      </c>
      <c r="X25" s="8" t="s">
        <v>135</v>
      </c>
    </row>
    <row r="26" spans="1:36" x14ac:dyDescent="0.3">
      <c r="A26" s="8">
        <v>1452.3</v>
      </c>
      <c r="B26" s="8">
        <v>1.3</v>
      </c>
      <c r="C26" s="8">
        <v>0.9</v>
      </c>
      <c r="D26" s="8">
        <f t="shared" si="1"/>
        <v>0.27</v>
      </c>
      <c r="E26" s="8">
        <v>1555</v>
      </c>
      <c r="F26" s="8">
        <v>7883</v>
      </c>
      <c r="G26" s="9">
        <v>10</v>
      </c>
      <c r="H26" s="11"/>
      <c r="I26" s="9">
        <v>30</v>
      </c>
      <c r="J26" s="11"/>
      <c r="K26" s="9">
        <v>25</v>
      </c>
      <c r="L26" s="9">
        <v>11</v>
      </c>
      <c r="M26" s="11"/>
      <c r="N26" s="9">
        <v>2</v>
      </c>
      <c r="O26" s="11"/>
      <c r="P26" s="11"/>
      <c r="Q26" s="9">
        <v>2</v>
      </c>
      <c r="R26" s="10">
        <v>1.3</v>
      </c>
      <c r="S26" s="11"/>
      <c r="T26" s="9">
        <v>3</v>
      </c>
      <c r="U26" s="10"/>
      <c r="W26" s="8" t="s">
        <v>136</v>
      </c>
      <c r="X26" s="8" t="s">
        <v>137</v>
      </c>
      <c r="Y26" s="8" t="s">
        <v>138</v>
      </c>
    </row>
    <row r="27" spans="1:36" x14ac:dyDescent="0.3">
      <c r="A27" s="8">
        <v>1468.2</v>
      </c>
      <c r="B27" s="8">
        <v>0.9</v>
      </c>
      <c r="C27" s="8">
        <v>1.4</v>
      </c>
      <c r="D27" s="8">
        <f t="shared" si="1"/>
        <v>0.42</v>
      </c>
      <c r="E27" s="8">
        <v>1574</v>
      </c>
      <c r="F27" s="8">
        <v>7901</v>
      </c>
      <c r="G27" s="9">
        <v>4</v>
      </c>
      <c r="H27" s="11"/>
      <c r="I27" s="9">
        <v>68</v>
      </c>
      <c r="J27" s="11"/>
      <c r="K27" s="10">
        <v>1.3</v>
      </c>
      <c r="L27" s="11"/>
      <c r="M27" s="9">
        <v>4</v>
      </c>
      <c r="N27" s="11"/>
      <c r="O27" s="11"/>
      <c r="P27" s="11"/>
      <c r="Q27" s="9">
        <v>3</v>
      </c>
      <c r="R27" s="11"/>
      <c r="S27" s="9">
        <v>8</v>
      </c>
      <c r="T27" s="9">
        <v>8</v>
      </c>
      <c r="U27" s="10"/>
      <c r="W27" s="8" t="s">
        <v>139</v>
      </c>
      <c r="X27" s="8" t="s">
        <v>140</v>
      </c>
      <c r="Y27" s="8" t="s">
        <v>141</v>
      </c>
      <c r="Z27" s="8" t="s">
        <v>142</v>
      </c>
    </row>
    <row r="28" spans="1:36" x14ac:dyDescent="0.3">
      <c r="A28" s="8">
        <v>1510.2</v>
      </c>
      <c r="B28" s="8">
        <v>1</v>
      </c>
      <c r="C28" s="8">
        <v>4.8</v>
      </c>
      <c r="D28" s="8">
        <f t="shared" si="1"/>
        <v>1.44</v>
      </c>
      <c r="E28" s="8">
        <v>1598</v>
      </c>
      <c r="F28" s="8">
        <v>7925</v>
      </c>
      <c r="G28" s="9">
        <v>41</v>
      </c>
      <c r="H28" s="9">
        <v>27</v>
      </c>
      <c r="I28" s="10">
        <v>1.5</v>
      </c>
      <c r="J28" s="10">
        <v>0.9</v>
      </c>
      <c r="K28" s="9">
        <v>11</v>
      </c>
      <c r="L28" s="10">
        <v>0.9</v>
      </c>
      <c r="M28" s="11"/>
      <c r="N28" s="10">
        <v>1.2</v>
      </c>
      <c r="O28" s="11"/>
      <c r="P28" s="10">
        <v>1.5</v>
      </c>
      <c r="Q28" s="10">
        <v>1.7</v>
      </c>
      <c r="R28" s="11"/>
      <c r="S28" s="9">
        <v>5</v>
      </c>
      <c r="T28" s="9">
        <v>3</v>
      </c>
      <c r="U28" s="10"/>
      <c r="W28" s="8" t="s">
        <v>143</v>
      </c>
      <c r="X28" s="8" t="s">
        <v>103</v>
      </c>
      <c r="Y28" s="8" t="s">
        <v>144</v>
      </c>
    </row>
    <row r="29" spans="1:36" x14ac:dyDescent="0.3">
      <c r="A29" s="8">
        <v>1511.6</v>
      </c>
      <c r="B29" s="8">
        <v>0.9</v>
      </c>
      <c r="C29" s="8">
        <v>6.1</v>
      </c>
      <c r="D29" s="8">
        <f t="shared" si="1"/>
        <v>1.8299999999999998</v>
      </c>
      <c r="E29" s="8">
        <v>1647</v>
      </c>
      <c r="F29" s="8">
        <v>7973</v>
      </c>
      <c r="G29" s="11"/>
      <c r="H29" s="10">
        <v>1</v>
      </c>
      <c r="I29" s="9">
        <v>20</v>
      </c>
      <c r="J29" s="9">
        <v>20</v>
      </c>
      <c r="K29" s="11"/>
      <c r="L29" s="9">
        <v>5</v>
      </c>
      <c r="M29" s="9">
        <v>10</v>
      </c>
      <c r="N29" s="11"/>
      <c r="O29" s="11"/>
      <c r="P29" s="11"/>
      <c r="Q29" s="11"/>
      <c r="R29" s="9">
        <v>6</v>
      </c>
      <c r="S29" s="11"/>
      <c r="T29" s="9">
        <v>6</v>
      </c>
      <c r="U29" s="10"/>
      <c r="W29" s="8" t="s">
        <v>145</v>
      </c>
      <c r="X29" s="8" t="s">
        <v>146</v>
      </c>
      <c r="Y29" s="8" t="s">
        <v>147</v>
      </c>
      <c r="Z29" s="8" t="s">
        <v>148</v>
      </c>
      <c r="AA29" s="8" t="s">
        <v>149</v>
      </c>
      <c r="AB29" s="8" t="s">
        <v>204</v>
      </c>
    </row>
    <row r="30" spans="1:36" x14ac:dyDescent="0.3">
      <c r="A30" s="8">
        <v>1542.2</v>
      </c>
      <c r="B30" s="8">
        <v>1</v>
      </c>
      <c r="C30" s="8">
        <v>1</v>
      </c>
      <c r="D30" s="8">
        <f t="shared" si="1"/>
        <v>0.3</v>
      </c>
      <c r="E30" s="8">
        <v>1666</v>
      </c>
      <c r="F30" s="8">
        <v>7991</v>
      </c>
      <c r="G30" s="9">
        <v>36</v>
      </c>
      <c r="H30" s="9">
        <v>60</v>
      </c>
      <c r="I30" s="11"/>
      <c r="J30" s="11"/>
      <c r="K30" s="11"/>
      <c r="L30" s="11"/>
      <c r="M30" s="11"/>
      <c r="N30" s="11"/>
      <c r="O30" s="11"/>
      <c r="P30" s="11"/>
      <c r="Q30" s="10">
        <v>1</v>
      </c>
      <c r="R30" s="11"/>
      <c r="S30" s="10" t="s">
        <v>97</v>
      </c>
      <c r="T30" s="10" t="s">
        <v>97</v>
      </c>
      <c r="U30" s="10"/>
      <c r="W30" s="8" t="s">
        <v>150</v>
      </c>
      <c r="X30" s="8" t="s">
        <v>209</v>
      </c>
    </row>
    <row r="31" spans="1:36" x14ac:dyDescent="0.3">
      <c r="A31" s="8">
        <v>1554.7</v>
      </c>
      <c r="B31" s="8">
        <v>0.9</v>
      </c>
      <c r="C31" s="8">
        <v>2.2000000000000002</v>
      </c>
      <c r="D31" s="8">
        <f t="shared" si="1"/>
        <v>0.66</v>
      </c>
      <c r="E31" s="8">
        <v>1673</v>
      </c>
      <c r="F31" s="8">
        <v>7998</v>
      </c>
      <c r="G31" s="9">
        <v>78</v>
      </c>
      <c r="H31" s="11"/>
      <c r="I31" s="10">
        <v>0.9</v>
      </c>
      <c r="J31" s="10">
        <v>0.6</v>
      </c>
      <c r="K31" s="10">
        <v>0.2</v>
      </c>
      <c r="L31" s="9">
        <v>2</v>
      </c>
      <c r="M31" s="9">
        <v>7</v>
      </c>
      <c r="N31" s="11"/>
      <c r="O31" s="11"/>
      <c r="P31" s="11"/>
      <c r="Q31" s="12">
        <v>1.1000000000000001</v>
      </c>
      <c r="R31" s="11"/>
      <c r="S31" s="11"/>
      <c r="T31" s="9">
        <v>4</v>
      </c>
      <c r="U31" s="10"/>
      <c r="W31" s="8" t="s">
        <v>151</v>
      </c>
      <c r="X31" s="8" t="s">
        <v>152</v>
      </c>
      <c r="Y31" s="8" t="s">
        <v>153</v>
      </c>
      <c r="Z31" s="8" t="s">
        <v>154</v>
      </c>
    </row>
    <row r="32" spans="1:36" x14ac:dyDescent="0.3">
      <c r="A32" s="8">
        <v>1573.7</v>
      </c>
      <c r="B32" s="8">
        <v>0.7</v>
      </c>
      <c r="C32" s="8">
        <v>2.2000000000000002</v>
      </c>
      <c r="D32" s="8">
        <f t="shared" si="1"/>
        <v>0.66</v>
      </c>
      <c r="E32" s="8">
        <v>1678</v>
      </c>
      <c r="F32" s="8">
        <v>8003</v>
      </c>
      <c r="G32" s="10">
        <v>1.4</v>
      </c>
      <c r="H32" s="11"/>
      <c r="I32" s="9">
        <v>70</v>
      </c>
      <c r="J32" s="10">
        <v>1.6</v>
      </c>
      <c r="K32" s="11"/>
      <c r="L32" s="11"/>
      <c r="M32" s="10">
        <v>0.8</v>
      </c>
      <c r="N32" s="11"/>
      <c r="O32" s="9">
        <v>3</v>
      </c>
      <c r="P32" s="11"/>
      <c r="Q32" s="11"/>
      <c r="R32" s="11"/>
      <c r="S32" s="9">
        <v>10</v>
      </c>
      <c r="T32" s="11"/>
      <c r="U32" s="10"/>
      <c r="W32" s="8" t="s">
        <v>155</v>
      </c>
      <c r="X32" s="8" t="s">
        <v>156</v>
      </c>
      <c r="Y32" s="8" t="s">
        <v>157</v>
      </c>
      <c r="Z32" s="8" t="s">
        <v>158</v>
      </c>
      <c r="AA32" s="8" t="s">
        <v>205</v>
      </c>
    </row>
    <row r="33" spans="1:29" x14ac:dyDescent="0.3">
      <c r="A33" s="8">
        <v>1598.4</v>
      </c>
      <c r="B33" s="8">
        <v>0.9</v>
      </c>
      <c r="C33" s="8">
        <v>1</v>
      </c>
      <c r="D33" s="8">
        <f t="shared" si="1"/>
        <v>0.3</v>
      </c>
      <c r="E33" s="8">
        <v>1683</v>
      </c>
      <c r="F33" s="8">
        <v>8007</v>
      </c>
      <c r="G33" s="9">
        <v>55</v>
      </c>
      <c r="H33" s="10">
        <v>0.6</v>
      </c>
      <c r="I33" s="9">
        <v>15</v>
      </c>
      <c r="J33" s="9">
        <v>4</v>
      </c>
      <c r="K33" s="10">
        <v>1.7</v>
      </c>
      <c r="L33" s="9">
        <v>2</v>
      </c>
      <c r="M33" s="9">
        <v>15</v>
      </c>
      <c r="N33" s="11"/>
      <c r="O33" s="11"/>
      <c r="P33" s="11"/>
      <c r="Q33" s="11"/>
      <c r="R33" s="11"/>
      <c r="S33" s="10" t="s">
        <v>98</v>
      </c>
      <c r="T33" s="10" t="s">
        <v>98</v>
      </c>
      <c r="U33" s="10"/>
      <c r="W33" s="8" t="s">
        <v>159</v>
      </c>
      <c r="X33" s="8" t="s">
        <v>160</v>
      </c>
      <c r="Y33" s="8" t="s">
        <v>161</v>
      </c>
    </row>
    <row r="34" spans="1:29" x14ac:dyDescent="0.3">
      <c r="A34" s="8">
        <v>1647.1</v>
      </c>
      <c r="B34" s="8">
        <v>1</v>
      </c>
      <c r="C34" s="8">
        <v>1.9</v>
      </c>
      <c r="D34" s="8">
        <f t="shared" si="1"/>
        <v>0.56999999999999995</v>
      </c>
      <c r="E34" s="8">
        <v>1717</v>
      </c>
      <c r="F34" s="8">
        <v>8041</v>
      </c>
      <c r="G34" s="9">
        <v>8</v>
      </c>
      <c r="H34" s="9">
        <v>4</v>
      </c>
      <c r="I34" s="9">
        <v>15</v>
      </c>
      <c r="J34" s="11"/>
      <c r="K34" s="9">
        <v>57</v>
      </c>
      <c r="L34" s="9">
        <v>4</v>
      </c>
      <c r="M34" s="11"/>
      <c r="N34" s="10">
        <v>1.4</v>
      </c>
      <c r="O34" s="11"/>
      <c r="P34" s="10">
        <v>0.8</v>
      </c>
      <c r="Q34" s="9">
        <v>3</v>
      </c>
      <c r="R34" s="11"/>
      <c r="S34" s="11"/>
      <c r="T34" s="10">
        <v>1.6</v>
      </c>
      <c r="U34" s="10"/>
      <c r="W34" s="8" t="s">
        <v>162</v>
      </c>
      <c r="X34" s="8" t="s">
        <v>163</v>
      </c>
      <c r="Y34" s="8" t="s">
        <v>164</v>
      </c>
    </row>
    <row r="35" spans="1:29" x14ac:dyDescent="0.3">
      <c r="A35" s="8">
        <v>1666.1</v>
      </c>
      <c r="B35" s="8">
        <v>1</v>
      </c>
      <c r="C35" s="8">
        <v>1.2</v>
      </c>
      <c r="D35" s="8">
        <f t="shared" si="1"/>
        <v>0.36</v>
      </c>
      <c r="E35" s="8">
        <v>1756</v>
      </c>
      <c r="F35" s="8">
        <v>8077</v>
      </c>
      <c r="G35" s="11"/>
      <c r="H35" s="11"/>
      <c r="I35" s="9">
        <v>56</v>
      </c>
      <c r="J35" s="11"/>
      <c r="K35" s="11"/>
      <c r="L35" s="9">
        <v>2</v>
      </c>
      <c r="M35" s="11"/>
      <c r="N35" s="11"/>
      <c r="O35" s="11"/>
      <c r="P35" s="11"/>
      <c r="Q35" s="11"/>
      <c r="R35" s="11"/>
      <c r="S35" s="11"/>
      <c r="T35" s="9">
        <v>8</v>
      </c>
      <c r="U35" s="10"/>
      <c r="W35" s="8" t="s">
        <v>165</v>
      </c>
      <c r="X35" s="8" t="s">
        <v>166</v>
      </c>
      <c r="Y35" s="8" t="s">
        <v>167</v>
      </c>
      <c r="Z35" s="8" t="s">
        <v>168</v>
      </c>
    </row>
    <row r="36" spans="1:29" x14ac:dyDescent="0.3">
      <c r="A36" s="8">
        <v>1672.7</v>
      </c>
      <c r="B36" s="8">
        <v>1</v>
      </c>
      <c r="C36" s="8">
        <v>2.1</v>
      </c>
      <c r="D36" s="8">
        <f t="shared" si="1"/>
        <v>0.63</v>
      </c>
      <c r="E36" s="8">
        <v>1776</v>
      </c>
      <c r="F36" s="8">
        <v>8098</v>
      </c>
      <c r="G36" s="9">
        <v>39</v>
      </c>
      <c r="H36" s="11"/>
      <c r="I36" s="9">
        <v>8</v>
      </c>
      <c r="J36" s="9">
        <v>17</v>
      </c>
      <c r="K36" s="9">
        <v>5</v>
      </c>
      <c r="L36" s="11"/>
      <c r="M36" s="9">
        <v>5</v>
      </c>
      <c r="N36" s="10">
        <v>1.8</v>
      </c>
      <c r="O36" s="11"/>
      <c r="P36" s="11"/>
      <c r="Q36" s="9">
        <v>2</v>
      </c>
      <c r="R36" s="11"/>
      <c r="S36" s="11"/>
      <c r="T36" s="10">
        <v>1.9</v>
      </c>
      <c r="U36" s="10"/>
      <c r="W36" s="8" t="s">
        <v>104</v>
      </c>
      <c r="X36" s="8" t="s">
        <v>169</v>
      </c>
      <c r="Y36" s="8" t="s">
        <v>170</v>
      </c>
      <c r="Z36" s="8" t="s">
        <v>171</v>
      </c>
      <c r="AA36" s="8" t="s">
        <v>206</v>
      </c>
      <c r="AB36" s="8" t="s">
        <v>172</v>
      </c>
      <c r="AC36" s="8" t="s">
        <v>173</v>
      </c>
    </row>
    <row r="37" spans="1:29" x14ac:dyDescent="0.3">
      <c r="A37" s="8">
        <v>1678.1</v>
      </c>
      <c r="B37" s="8">
        <v>0.9</v>
      </c>
      <c r="C37" s="8">
        <v>2.9</v>
      </c>
      <c r="D37" s="8">
        <f t="shared" si="1"/>
        <v>0.87</v>
      </c>
      <c r="E37" s="8">
        <v>1787</v>
      </c>
      <c r="F37" s="8">
        <v>8109</v>
      </c>
      <c r="G37" s="9">
        <v>37</v>
      </c>
      <c r="H37" s="9">
        <v>35</v>
      </c>
      <c r="I37" s="9">
        <v>3</v>
      </c>
      <c r="J37" s="11"/>
      <c r="K37" s="9">
        <v>9</v>
      </c>
      <c r="L37" s="9">
        <v>9</v>
      </c>
      <c r="M37" s="11"/>
      <c r="N37" s="11"/>
      <c r="O37" s="11"/>
      <c r="P37" s="9">
        <v>3</v>
      </c>
      <c r="Q37" s="10">
        <v>1.3</v>
      </c>
      <c r="R37" s="11"/>
      <c r="S37" s="11"/>
      <c r="T37" s="10">
        <v>1.6</v>
      </c>
      <c r="U37" s="10"/>
      <c r="W37" s="8" t="s">
        <v>174</v>
      </c>
      <c r="X37" s="8" t="s">
        <v>164</v>
      </c>
    </row>
    <row r="38" spans="1:29" x14ac:dyDescent="0.3">
      <c r="A38" s="8">
        <v>1682.5</v>
      </c>
      <c r="B38" s="8">
        <v>1</v>
      </c>
      <c r="C38" s="8">
        <v>4.8</v>
      </c>
      <c r="D38" s="8">
        <f t="shared" si="1"/>
        <v>1.44</v>
      </c>
      <c r="E38" s="8">
        <v>1794</v>
      </c>
      <c r="F38" s="8">
        <v>8116</v>
      </c>
      <c r="G38" s="9">
        <v>25</v>
      </c>
      <c r="H38" s="9">
        <v>32</v>
      </c>
      <c r="I38" s="9">
        <v>5</v>
      </c>
      <c r="J38" s="11"/>
      <c r="K38" s="9">
        <v>13</v>
      </c>
      <c r="L38" s="10">
        <v>1.9</v>
      </c>
      <c r="M38" s="11"/>
      <c r="N38" s="11"/>
      <c r="O38" s="11"/>
      <c r="P38" s="9">
        <v>5</v>
      </c>
      <c r="Q38" s="10">
        <v>1.3</v>
      </c>
      <c r="R38" s="11"/>
      <c r="S38" s="9">
        <v>7</v>
      </c>
      <c r="T38" s="11"/>
      <c r="U38" s="10"/>
      <c r="W38" s="8" t="s">
        <v>175</v>
      </c>
      <c r="X38" s="8" t="s">
        <v>176</v>
      </c>
      <c r="Y38" s="8" t="s">
        <v>177</v>
      </c>
      <c r="Z38" s="8" t="s">
        <v>178</v>
      </c>
    </row>
    <row r="39" spans="1:29" x14ac:dyDescent="0.3">
      <c r="A39" s="8">
        <v>1714.9</v>
      </c>
      <c r="B39" s="8">
        <v>1</v>
      </c>
      <c r="C39" s="8">
        <v>0.8</v>
      </c>
      <c r="D39" s="8">
        <f t="shared" si="1"/>
        <v>0.24</v>
      </c>
      <c r="E39" s="8">
        <v>1830</v>
      </c>
      <c r="F39" s="8">
        <v>8150</v>
      </c>
      <c r="G39" s="9">
        <v>62</v>
      </c>
      <c r="H39" s="9">
        <v>15</v>
      </c>
      <c r="I39" s="11"/>
      <c r="J39" s="11"/>
      <c r="K39" s="9">
        <v>3</v>
      </c>
      <c r="L39" s="11"/>
      <c r="M39" s="11"/>
      <c r="N39" s="9">
        <v>3</v>
      </c>
      <c r="O39" s="11"/>
      <c r="P39" s="9">
        <v>2</v>
      </c>
      <c r="Q39" s="9">
        <v>3</v>
      </c>
      <c r="R39" s="11"/>
      <c r="S39" s="11"/>
      <c r="T39" s="9">
        <v>8</v>
      </c>
      <c r="U39" s="10"/>
      <c r="W39" s="8" t="s">
        <v>134</v>
      </c>
      <c r="X39" s="8" t="s">
        <v>179</v>
      </c>
    </row>
    <row r="40" spans="1:29" x14ac:dyDescent="0.3">
      <c r="A40" s="8">
        <v>1717.3</v>
      </c>
      <c r="B40" s="8">
        <v>1.1000000000000001</v>
      </c>
      <c r="C40" s="8">
        <v>2.9</v>
      </c>
      <c r="D40" s="8">
        <f t="shared" si="1"/>
        <v>0.87</v>
      </c>
      <c r="E40" s="8">
        <v>1839</v>
      </c>
      <c r="F40" s="8">
        <v>8159</v>
      </c>
      <c r="G40" s="9">
        <v>3</v>
      </c>
      <c r="H40" s="11"/>
      <c r="I40" s="10">
        <v>1</v>
      </c>
      <c r="J40" s="9">
        <v>51</v>
      </c>
      <c r="K40" s="11"/>
      <c r="L40" s="9">
        <v>6</v>
      </c>
      <c r="M40" s="9">
        <v>5</v>
      </c>
      <c r="N40" s="11"/>
      <c r="O40" s="9">
        <v>2</v>
      </c>
      <c r="P40" s="11"/>
      <c r="Q40" s="10">
        <v>1</v>
      </c>
      <c r="R40" s="9">
        <v>7</v>
      </c>
      <c r="S40" s="11"/>
      <c r="T40" s="9">
        <v>5</v>
      </c>
      <c r="U40" s="10"/>
      <c r="W40" s="8" t="s">
        <v>180</v>
      </c>
      <c r="X40" s="8" t="s">
        <v>181</v>
      </c>
      <c r="Y40" s="8" t="s">
        <v>182</v>
      </c>
      <c r="Z40" s="8" t="s">
        <v>183</v>
      </c>
    </row>
    <row r="41" spans="1:29" x14ac:dyDescent="0.3">
      <c r="A41" s="8">
        <v>1755.7</v>
      </c>
      <c r="B41" s="8">
        <v>1.1000000000000001</v>
      </c>
      <c r="C41" s="8">
        <v>1.6</v>
      </c>
      <c r="D41" s="8">
        <f t="shared" si="1"/>
        <v>0.48</v>
      </c>
      <c r="E41" s="8">
        <v>1891</v>
      </c>
      <c r="F41" s="8">
        <v>8210</v>
      </c>
      <c r="G41" s="9">
        <v>78</v>
      </c>
      <c r="H41" s="9">
        <v>3</v>
      </c>
      <c r="I41" s="9">
        <v>14</v>
      </c>
      <c r="J41" s="11"/>
      <c r="K41" s="10">
        <v>0.5</v>
      </c>
      <c r="L41" s="12">
        <v>1.1000000000000001</v>
      </c>
      <c r="M41" s="11"/>
      <c r="N41" s="11"/>
      <c r="O41" s="11"/>
      <c r="P41" s="11"/>
      <c r="Q41" s="10">
        <v>1.5</v>
      </c>
      <c r="R41" s="11"/>
      <c r="S41" s="11"/>
      <c r="T41" s="11"/>
      <c r="U41" s="10"/>
      <c r="W41" s="8" t="s">
        <v>184</v>
      </c>
      <c r="X41" s="8" t="s">
        <v>140</v>
      </c>
      <c r="Y41" s="8" t="s">
        <v>185</v>
      </c>
    </row>
    <row r="42" spans="1:29" x14ac:dyDescent="0.3">
      <c r="A42" s="8">
        <v>1776</v>
      </c>
      <c r="B42" s="8">
        <v>1.1000000000000001</v>
      </c>
      <c r="C42" s="8">
        <v>2.4</v>
      </c>
      <c r="D42" s="8">
        <f t="shared" si="1"/>
        <v>0.72</v>
      </c>
      <c r="E42" s="8">
        <v>1900</v>
      </c>
      <c r="F42" s="8">
        <v>8218</v>
      </c>
      <c r="G42" s="9">
        <v>45</v>
      </c>
      <c r="H42" s="11"/>
      <c r="I42" s="10">
        <v>1.4</v>
      </c>
      <c r="J42" s="11"/>
      <c r="K42" s="9">
        <v>3</v>
      </c>
      <c r="L42" s="9">
        <v>5</v>
      </c>
      <c r="M42" s="9">
        <v>41</v>
      </c>
      <c r="N42" s="11"/>
      <c r="O42" s="11"/>
      <c r="P42" s="11"/>
      <c r="Q42" s="11"/>
      <c r="R42" s="11"/>
      <c r="S42" s="9" t="s">
        <v>99</v>
      </c>
      <c r="T42" s="9" t="s">
        <v>99</v>
      </c>
      <c r="U42" s="10"/>
      <c r="W42" s="8" t="s">
        <v>186</v>
      </c>
      <c r="X42" s="8" t="s">
        <v>73</v>
      </c>
    </row>
    <row r="43" spans="1:29" x14ac:dyDescent="0.3">
      <c r="A43" s="8">
        <v>1786.9</v>
      </c>
      <c r="B43" s="8">
        <v>1.1000000000000001</v>
      </c>
      <c r="C43" s="8">
        <v>3.7</v>
      </c>
      <c r="D43" s="8">
        <f t="shared" si="1"/>
        <v>1.1100000000000001</v>
      </c>
      <c r="E43" s="8">
        <v>1927</v>
      </c>
      <c r="F43" s="8">
        <v>8244</v>
      </c>
      <c r="G43" s="11"/>
      <c r="H43" s="9">
        <v>91</v>
      </c>
      <c r="I43" s="11"/>
      <c r="J43" s="11"/>
      <c r="K43" s="11"/>
      <c r="L43" s="9">
        <v>2</v>
      </c>
      <c r="M43" s="11"/>
      <c r="N43" s="11"/>
      <c r="O43" s="11"/>
      <c r="P43" s="11"/>
      <c r="Q43" s="11"/>
      <c r="R43" s="11"/>
      <c r="S43" s="9">
        <v>7</v>
      </c>
      <c r="T43" s="11"/>
      <c r="U43" s="10"/>
    </row>
    <row r="44" spans="1:29" x14ac:dyDescent="0.3">
      <c r="A44" s="8">
        <v>1794.2</v>
      </c>
      <c r="B44" s="8">
        <v>1.1000000000000001</v>
      </c>
      <c r="C44" s="8">
        <v>1.6</v>
      </c>
      <c r="D44" s="8">
        <f t="shared" si="1"/>
        <v>0.48</v>
      </c>
      <c r="E44" s="8">
        <v>1954</v>
      </c>
      <c r="F44" s="8">
        <v>8271</v>
      </c>
      <c r="G44" s="9">
        <v>45</v>
      </c>
      <c r="H44" s="11"/>
      <c r="I44" s="9">
        <v>8</v>
      </c>
      <c r="J44" s="9">
        <v>4</v>
      </c>
      <c r="K44" s="9">
        <v>6</v>
      </c>
      <c r="L44" s="9">
        <v>13</v>
      </c>
      <c r="M44" s="9">
        <v>7</v>
      </c>
      <c r="N44" s="9">
        <v>3</v>
      </c>
      <c r="O44" s="11"/>
      <c r="P44" s="11"/>
      <c r="Q44" s="11"/>
      <c r="R44" s="11"/>
      <c r="S44" s="11"/>
      <c r="T44" s="9">
        <v>12</v>
      </c>
      <c r="U44" s="10"/>
      <c r="W44" s="8" t="s">
        <v>104</v>
      </c>
    </row>
    <row r="45" spans="1:29" x14ac:dyDescent="0.3">
      <c r="A45" s="8">
        <v>1829.5</v>
      </c>
      <c r="B45" s="8">
        <v>1.1000000000000001</v>
      </c>
      <c r="C45" s="8">
        <v>1.7</v>
      </c>
      <c r="D45" s="8">
        <f t="shared" si="1"/>
        <v>0.51</v>
      </c>
      <c r="E45" s="8">
        <v>1963</v>
      </c>
      <c r="F45" s="8">
        <v>8279</v>
      </c>
      <c r="G45" s="9">
        <v>29</v>
      </c>
      <c r="H45" s="11"/>
      <c r="I45" s="9">
        <v>23</v>
      </c>
      <c r="J45" s="9">
        <v>3</v>
      </c>
      <c r="K45" s="9">
        <v>3</v>
      </c>
      <c r="L45" s="9">
        <v>10</v>
      </c>
      <c r="M45" s="11"/>
      <c r="N45" s="9">
        <v>5</v>
      </c>
      <c r="O45" s="11"/>
      <c r="P45" s="11"/>
      <c r="Q45" s="10">
        <v>1.5</v>
      </c>
      <c r="R45" s="11"/>
      <c r="S45" s="9">
        <v>2</v>
      </c>
      <c r="T45" s="11"/>
      <c r="U45" s="10"/>
      <c r="W45" s="8" t="s">
        <v>187</v>
      </c>
      <c r="X45" s="8" t="s">
        <v>188</v>
      </c>
      <c r="Y45" s="8" t="s">
        <v>189</v>
      </c>
      <c r="Z45" s="8" t="s">
        <v>190</v>
      </c>
      <c r="AA45" s="8" t="s">
        <v>207</v>
      </c>
      <c r="AB45" s="8" t="s">
        <v>191</v>
      </c>
    </row>
    <row r="46" spans="1:29" x14ac:dyDescent="0.3">
      <c r="A46" s="8">
        <v>1839.1</v>
      </c>
      <c r="B46" s="8">
        <v>1.1000000000000001</v>
      </c>
      <c r="C46" s="8">
        <v>1.9</v>
      </c>
      <c r="D46" s="8">
        <f t="shared" si="1"/>
        <v>0.56999999999999995</v>
      </c>
      <c r="E46" s="8">
        <v>1968</v>
      </c>
      <c r="F46" s="8">
        <v>8284</v>
      </c>
      <c r="G46" s="9">
        <v>28</v>
      </c>
      <c r="H46" s="11"/>
      <c r="I46" s="9">
        <v>7</v>
      </c>
      <c r="J46" s="11"/>
      <c r="K46" s="11"/>
      <c r="L46" s="11"/>
      <c r="M46" s="9">
        <v>26</v>
      </c>
      <c r="N46" s="11"/>
      <c r="O46" s="11"/>
      <c r="P46" s="11"/>
      <c r="Q46" s="9">
        <v>6</v>
      </c>
      <c r="R46" s="11"/>
      <c r="S46" s="11"/>
      <c r="T46" s="9">
        <v>14</v>
      </c>
      <c r="U46" s="10"/>
      <c r="W46" s="8" t="s">
        <v>192</v>
      </c>
      <c r="X46" s="8" t="s">
        <v>166</v>
      </c>
      <c r="Y46" s="8" t="s">
        <v>182</v>
      </c>
    </row>
    <row r="47" spans="1:29" x14ac:dyDescent="0.3">
      <c r="A47" s="8">
        <v>1862.1</v>
      </c>
      <c r="B47" s="8">
        <v>1.2</v>
      </c>
      <c r="C47" s="8">
        <v>0.9</v>
      </c>
      <c r="D47" s="8">
        <f t="shared" si="1"/>
        <v>0.27</v>
      </c>
      <c r="E47" s="8">
        <v>1974</v>
      </c>
      <c r="F47" s="8">
        <v>8290</v>
      </c>
      <c r="G47" s="9">
        <v>13</v>
      </c>
      <c r="H47" s="9">
        <v>44</v>
      </c>
      <c r="I47" s="11"/>
      <c r="J47" s="11"/>
      <c r="K47" s="9">
        <v>23</v>
      </c>
      <c r="L47" s="11"/>
      <c r="M47" s="11"/>
      <c r="N47" s="10">
        <v>1</v>
      </c>
      <c r="O47" s="11"/>
      <c r="P47" s="9">
        <v>3</v>
      </c>
      <c r="Q47" s="9">
        <v>2</v>
      </c>
      <c r="R47" s="11"/>
      <c r="S47" s="11"/>
      <c r="T47" s="9">
        <v>9</v>
      </c>
      <c r="U47" s="10"/>
      <c r="W47" s="8" t="s">
        <v>134</v>
      </c>
      <c r="X47" s="8" t="s">
        <v>193</v>
      </c>
    </row>
    <row r="48" spans="1:29" x14ac:dyDescent="0.3">
      <c r="A48" s="8">
        <v>1891.3</v>
      </c>
      <c r="B48" s="8">
        <v>1.2</v>
      </c>
      <c r="C48" s="8">
        <v>9</v>
      </c>
      <c r="D48" s="8">
        <f t="shared" si="1"/>
        <v>2.6999999999999997</v>
      </c>
      <c r="E48" s="8">
        <v>1985</v>
      </c>
      <c r="F48" s="8">
        <v>8300</v>
      </c>
      <c r="G48" s="9">
        <v>13</v>
      </c>
      <c r="H48" s="9">
        <v>24</v>
      </c>
      <c r="I48" s="9">
        <v>8</v>
      </c>
      <c r="J48" s="9">
        <v>6</v>
      </c>
      <c r="K48" s="9">
        <v>10</v>
      </c>
      <c r="L48" s="10">
        <v>1</v>
      </c>
      <c r="M48" s="10">
        <v>1</v>
      </c>
      <c r="N48" s="11"/>
      <c r="O48" s="11"/>
      <c r="P48" s="11"/>
      <c r="Q48" s="9">
        <v>10</v>
      </c>
      <c r="R48" s="11"/>
      <c r="S48" s="9">
        <v>6</v>
      </c>
      <c r="T48" s="11"/>
      <c r="U48" s="10"/>
      <c r="W48" s="8" t="s">
        <v>194</v>
      </c>
      <c r="X48" s="8" t="s">
        <v>195</v>
      </c>
      <c r="Y48" s="8" t="s">
        <v>196</v>
      </c>
    </row>
    <row r="49" spans="1:27" x14ac:dyDescent="0.3">
      <c r="A49" s="8">
        <v>1899.6</v>
      </c>
      <c r="B49" s="8">
        <v>1.1000000000000001</v>
      </c>
      <c r="C49" s="8">
        <v>7.1</v>
      </c>
      <c r="D49" s="8">
        <f t="shared" si="1"/>
        <v>2.13</v>
      </c>
      <c r="E49" s="8">
        <v>2006</v>
      </c>
      <c r="F49" s="8">
        <v>8321</v>
      </c>
      <c r="G49" s="9">
        <v>78</v>
      </c>
      <c r="H49" s="9">
        <v>2</v>
      </c>
      <c r="I49" s="10">
        <v>1.8</v>
      </c>
      <c r="J49" s="10">
        <v>0.9</v>
      </c>
      <c r="K49" s="10">
        <v>1.6</v>
      </c>
      <c r="L49" s="9">
        <v>3</v>
      </c>
      <c r="M49" s="10">
        <v>0.5</v>
      </c>
      <c r="N49" s="11"/>
      <c r="O49" s="11"/>
      <c r="P49" s="9">
        <v>3</v>
      </c>
      <c r="Q49" s="10">
        <v>1.2</v>
      </c>
      <c r="R49" s="11"/>
      <c r="S49" s="9" t="s">
        <v>99</v>
      </c>
      <c r="T49" s="9" t="s">
        <v>99</v>
      </c>
      <c r="U49" s="10"/>
      <c r="W49" s="8" t="s">
        <v>118</v>
      </c>
      <c r="X49" s="8" t="s">
        <v>197</v>
      </c>
      <c r="Y49" s="8" t="s">
        <v>198</v>
      </c>
      <c r="Z49" s="8" t="s">
        <v>199</v>
      </c>
      <c r="AA49" s="8" t="s">
        <v>208</v>
      </c>
    </row>
    <row r="50" spans="1:27" x14ac:dyDescent="0.3">
      <c r="A50" s="8">
        <v>1926.5</v>
      </c>
      <c r="B50" s="8">
        <v>1.2</v>
      </c>
      <c r="C50" s="8">
        <v>2.2000000000000002</v>
      </c>
      <c r="D50" s="8">
        <f t="shared" si="1"/>
        <v>0.66</v>
      </c>
      <c r="U50" s="10"/>
    </row>
    <row r="51" spans="1:27" x14ac:dyDescent="0.3">
      <c r="A51" s="8">
        <v>1954.3</v>
      </c>
      <c r="B51" s="8">
        <v>1.2</v>
      </c>
      <c r="C51" s="8">
        <v>2</v>
      </c>
      <c r="D51" s="8">
        <f t="shared" si="1"/>
        <v>0.6</v>
      </c>
      <c r="U51" s="10"/>
    </row>
    <row r="52" spans="1:27" x14ac:dyDescent="0.3">
      <c r="A52" s="8">
        <v>1962.8</v>
      </c>
      <c r="B52" s="8">
        <v>1.2</v>
      </c>
      <c r="C52" s="8">
        <v>1.5</v>
      </c>
      <c r="D52" s="8">
        <f t="shared" si="1"/>
        <v>0.44999999999999996</v>
      </c>
      <c r="U52" s="10"/>
    </row>
    <row r="53" spans="1:27" x14ac:dyDescent="0.3">
      <c r="A53" s="8">
        <v>1967.8</v>
      </c>
      <c r="B53" s="8">
        <v>1.2</v>
      </c>
      <c r="C53" s="8">
        <v>1.3</v>
      </c>
      <c r="D53" s="8">
        <f t="shared" si="1"/>
        <v>0.39</v>
      </c>
      <c r="U53" s="10"/>
    </row>
    <row r="54" spans="1:27" x14ac:dyDescent="0.3">
      <c r="A54" s="8">
        <v>1973.8</v>
      </c>
      <c r="B54" s="8">
        <v>1.2</v>
      </c>
      <c r="C54" s="8">
        <v>1.6</v>
      </c>
      <c r="D54" s="8">
        <f t="shared" si="1"/>
        <v>0.48</v>
      </c>
      <c r="U54" s="10"/>
    </row>
    <row r="55" spans="1:27" x14ac:dyDescent="0.3">
      <c r="A55" s="8">
        <v>1984.5</v>
      </c>
      <c r="B55" s="8">
        <v>1.2</v>
      </c>
      <c r="C55" s="8">
        <v>3.5</v>
      </c>
      <c r="D55" s="8">
        <f t="shared" si="1"/>
        <v>1.05</v>
      </c>
      <c r="U55" s="10"/>
    </row>
    <row r="56" spans="1:27" x14ac:dyDescent="0.3">
      <c r="A56" s="8">
        <v>2006</v>
      </c>
      <c r="B56" s="8">
        <v>1.3</v>
      </c>
      <c r="C56" s="8">
        <v>4.2</v>
      </c>
      <c r="D56" s="8">
        <f t="shared" si="1"/>
        <v>1.26</v>
      </c>
      <c r="U56" s="10"/>
    </row>
    <row r="57" spans="1:27" x14ac:dyDescent="0.3">
      <c r="A57" s="8">
        <v>2009.9</v>
      </c>
      <c r="B57" s="8">
        <v>1.3</v>
      </c>
      <c r="C57" s="8">
        <v>1.6</v>
      </c>
      <c r="D57" s="8">
        <f t="shared" si="1"/>
        <v>0.48</v>
      </c>
      <c r="U57" s="10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14C9-1382-47B0-A4F0-38F6D80D0F7A}">
  <dimension ref="A1:J35"/>
  <sheetViews>
    <sheetView tabSelected="1" workbookViewId="0">
      <selection activeCell="E21" sqref="E21"/>
    </sheetView>
  </sheetViews>
  <sheetFormatPr defaultRowHeight="14.4" x14ac:dyDescent="0.3"/>
  <cols>
    <col min="1" max="1" width="10.109375" bestFit="1" customWidth="1"/>
    <col min="2" max="2" width="8.109375" bestFit="1" customWidth="1"/>
    <col min="3" max="3" width="7.33203125" bestFit="1" customWidth="1"/>
    <col min="4" max="4" width="8.109375" bestFit="1" customWidth="1"/>
    <col min="5" max="8" width="7.33203125" bestFit="1" customWidth="1"/>
    <col min="9" max="9" width="8.33203125" bestFit="1" customWidth="1"/>
    <col min="10" max="10" width="8.44140625" bestFit="1" customWidth="1"/>
  </cols>
  <sheetData>
    <row r="1" spans="1:10" x14ac:dyDescent="0.3">
      <c r="A1" t="s">
        <v>310</v>
      </c>
    </row>
    <row r="2" spans="1:10" x14ac:dyDescent="0.3">
      <c r="A2" s="13" t="s">
        <v>64</v>
      </c>
      <c r="B2" s="13" t="s">
        <v>210</v>
      </c>
      <c r="C2" s="13" t="s">
        <v>211</v>
      </c>
      <c r="D2" s="13" t="s">
        <v>212</v>
      </c>
      <c r="E2" s="13" t="s">
        <v>213</v>
      </c>
      <c r="F2" s="13" t="s">
        <v>214</v>
      </c>
      <c r="G2" s="13" t="s">
        <v>215</v>
      </c>
      <c r="H2" s="13" t="s">
        <v>216</v>
      </c>
      <c r="I2" s="13" t="s">
        <v>217</v>
      </c>
      <c r="J2" s="13" t="s">
        <v>218</v>
      </c>
    </row>
    <row r="3" spans="1:10" x14ac:dyDescent="0.3">
      <c r="A3" s="13" t="s">
        <v>219</v>
      </c>
      <c r="B3" s="13">
        <v>100</v>
      </c>
      <c r="C3" s="13"/>
      <c r="D3" s="13"/>
      <c r="E3" s="13"/>
      <c r="F3" s="13"/>
      <c r="G3" s="13"/>
      <c r="H3" s="13"/>
      <c r="I3" s="13"/>
      <c r="J3" s="13"/>
    </row>
    <row r="4" spans="1:10" x14ac:dyDescent="0.3">
      <c r="A4" s="13" t="s">
        <v>220</v>
      </c>
      <c r="B4" s="13">
        <v>100</v>
      </c>
      <c r="C4" s="13" t="s">
        <v>221</v>
      </c>
      <c r="D4" s="13"/>
      <c r="E4" s="13"/>
      <c r="F4" s="13"/>
      <c r="G4" s="13"/>
      <c r="H4" s="13"/>
      <c r="I4" s="13"/>
      <c r="J4" s="13"/>
    </row>
    <row r="5" spans="1:10" x14ac:dyDescent="0.3">
      <c r="A5" s="13" t="s">
        <v>222</v>
      </c>
      <c r="B5" s="13" t="s">
        <v>223</v>
      </c>
      <c r="C5" s="13" t="s">
        <v>224</v>
      </c>
      <c r="D5" s="13" t="s">
        <v>225</v>
      </c>
      <c r="F5" s="13"/>
      <c r="G5" s="13"/>
      <c r="H5" s="13"/>
      <c r="I5" s="13"/>
      <c r="J5" s="13"/>
    </row>
    <row r="6" spans="1:10" x14ac:dyDescent="0.3">
      <c r="A6" s="13" t="s">
        <v>226</v>
      </c>
      <c r="B6" s="13" t="s">
        <v>227</v>
      </c>
      <c r="C6" s="13" t="s">
        <v>228</v>
      </c>
      <c r="D6" s="13" t="s">
        <v>229</v>
      </c>
      <c r="E6" s="13"/>
      <c r="F6" s="13"/>
      <c r="G6" s="13"/>
      <c r="H6" s="13"/>
      <c r="I6" s="13"/>
      <c r="J6" s="13"/>
    </row>
    <row r="7" spans="1:10" x14ac:dyDescent="0.3">
      <c r="A7" s="13" t="s">
        <v>230</v>
      </c>
      <c r="B7" s="13">
        <v>100</v>
      </c>
      <c r="C7" s="13" t="s">
        <v>99</v>
      </c>
      <c r="D7" s="13" t="s">
        <v>224</v>
      </c>
      <c r="E7" s="13"/>
      <c r="F7" s="13"/>
      <c r="G7" s="13"/>
      <c r="H7" s="13"/>
      <c r="I7" s="13"/>
      <c r="J7" s="13"/>
    </row>
    <row r="8" spans="1:10" x14ac:dyDescent="0.3">
      <c r="A8" s="13" t="s">
        <v>231</v>
      </c>
      <c r="B8" s="13" t="s">
        <v>232</v>
      </c>
      <c r="C8" s="13" t="s">
        <v>221</v>
      </c>
      <c r="D8" s="13" t="s">
        <v>221</v>
      </c>
      <c r="E8" s="13" t="s">
        <v>233</v>
      </c>
      <c r="F8" s="13"/>
      <c r="G8" s="13"/>
      <c r="H8" s="13" t="s">
        <v>99</v>
      </c>
      <c r="I8" s="13"/>
      <c r="J8" s="13"/>
    </row>
    <row r="9" spans="1:10" x14ac:dyDescent="0.3">
      <c r="A9" s="13" t="s">
        <v>234</v>
      </c>
      <c r="B9" s="13" t="s">
        <v>235</v>
      </c>
      <c r="C9" s="13"/>
      <c r="D9" s="13" t="s">
        <v>236</v>
      </c>
      <c r="E9" s="13" t="s">
        <v>99</v>
      </c>
      <c r="F9" s="13"/>
      <c r="G9" s="13"/>
      <c r="H9" s="13"/>
      <c r="I9" s="13"/>
      <c r="J9" s="13"/>
    </row>
    <row r="10" spans="1:10" x14ac:dyDescent="0.3">
      <c r="A10" s="13" t="s">
        <v>237</v>
      </c>
      <c r="B10" s="13" t="s">
        <v>238</v>
      </c>
      <c r="C10" s="13" t="s">
        <v>239</v>
      </c>
      <c r="D10" s="13" t="s">
        <v>240</v>
      </c>
      <c r="E10" s="13" t="s">
        <v>241</v>
      </c>
      <c r="F10" s="13"/>
      <c r="G10" s="13"/>
      <c r="H10" s="13"/>
      <c r="I10" s="13"/>
      <c r="J10" s="13"/>
    </row>
    <row r="11" spans="1:10" x14ac:dyDescent="0.3">
      <c r="A11" s="13" t="s">
        <v>242</v>
      </c>
      <c r="B11" s="13" t="s">
        <v>243</v>
      </c>
      <c r="C11" s="13" t="s">
        <v>244</v>
      </c>
      <c r="D11" s="13" t="s">
        <v>224</v>
      </c>
      <c r="E11" s="13" t="s">
        <v>224</v>
      </c>
      <c r="F11" s="13" t="s">
        <v>245</v>
      </c>
      <c r="G11" s="13"/>
      <c r="H11" s="13"/>
      <c r="I11" s="13"/>
      <c r="J11" s="13"/>
    </row>
    <row r="12" spans="1:10" x14ac:dyDescent="0.3">
      <c r="A12" s="13" t="s">
        <v>246</v>
      </c>
      <c r="B12" s="13" t="s">
        <v>224</v>
      </c>
      <c r="C12" s="13" t="s">
        <v>247</v>
      </c>
      <c r="D12" s="13" t="s">
        <v>248</v>
      </c>
      <c r="E12" s="13" t="s">
        <v>249</v>
      </c>
      <c r="F12" s="13" t="s">
        <v>250</v>
      </c>
      <c r="G12" s="13"/>
      <c r="H12" s="13"/>
      <c r="I12" s="13"/>
      <c r="J12" s="13"/>
    </row>
    <row r="13" spans="1:10" x14ac:dyDescent="0.3">
      <c r="A13" s="13" t="s">
        <v>251</v>
      </c>
      <c r="B13" s="13" t="s">
        <v>252</v>
      </c>
      <c r="C13" s="13" t="s">
        <v>238</v>
      </c>
      <c r="D13" s="13" t="s">
        <v>253</v>
      </c>
      <c r="E13" s="13"/>
      <c r="F13" s="13"/>
      <c r="G13" s="13"/>
      <c r="H13" s="13"/>
      <c r="I13" s="13"/>
      <c r="J13" s="13"/>
    </row>
    <row r="14" spans="1:10" x14ac:dyDescent="0.3">
      <c r="A14" s="13" t="s">
        <v>254</v>
      </c>
      <c r="B14" s="13" t="s">
        <v>255</v>
      </c>
      <c r="C14" s="13" t="s">
        <v>256</v>
      </c>
      <c r="D14" s="13" t="s">
        <v>243</v>
      </c>
      <c r="E14" s="13" t="s">
        <v>238</v>
      </c>
      <c r="F14" s="13" t="s">
        <v>257</v>
      </c>
      <c r="G14" s="13"/>
      <c r="H14" s="13"/>
      <c r="I14" s="13"/>
      <c r="J14" s="13"/>
    </row>
    <row r="15" spans="1:10" x14ac:dyDescent="0.3">
      <c r="A15" s="13" t="s">
        <v>258</v>
      </c>
      <c r="B15" s="13" t="s">
        <v>259</v>
      </c>
      <c r="C15" s="13" t="s">
        <v>260</v>
      </c>
      <c r="D15" s="13" t="s">
        <v>249</v>
      </c>
      <c r="E15" s="13" t="s">
        <v>261</v>
      </c>
      <c r="F15" s="13" t="s">
        <v>262</v>
      </c>
      <c r="G15" s="13" t="s">
        <v>261</v>
      </c>
      <c r="H15" s="13"/>
      <c r="I15" s="13"/>
      <c r="J15" s="13"/>
    </row>
    <row r="16" spans="1:10" x14ac:dyDescent="0.3">
      <c r="A16" s="13" t="s">
        <v>263</v>
      </c>
      <c r="B16" s="13" t="s">
        <v>238</v>
      </c>
      <c r="C16" s="13" t="s">
        <v>256</v>
      </c>
      <c r="D16" s="13" t="s">
        <v>264</v>
      </c>
      <c r="E16" s="13" t="s">
        <v>265</v>
      </c>
      <c r="F16" s="13" t="s">
        <v>256</v>
      </c>
      <c r="G16" s="13" t="s">
        <v>256</v>
      </c>
      <c r="H16" s="13" t="s">
        <v>266</v>
      </c>
      <c r="I16" s="13"/>
      <c r="J16" s="13"/>
    </row>
    <row r="17" spans="1:10" x14ac:dyDescent="0.3">
      <c r="A17" s="13" t="s">
        <v>267</v>
      </c>
      <c r="B17" s="13" t="s">
        <v>268</v>
      </c>
      <c r="C17" s="13"/>
      <c r="D17" s="13"/>
      <c r="E17" s="13"/>
      <c r="F17" s="13"/>
      <c r="G17" s="13"/>
      <c r="H17" s="13"/>
      <c r="I17" s="13"/>
      <c r="J17" s="13">
        <v>15</v>
      </c>
    </row>
    <row r="18" spans="1:10" x14ac:dyDescent="0.3">
      <c r="A18" s="13" t="s">
        <v>269</v>
      </c>
      <c r="B18" s="13" t="s">
        <v>238</v>
      </c>
      <c r="C18" s="13" t="s">
        <v>238</v>
      </c>
      <c r="D18" s="13"/>
      <c r="E18" s="13"/>
      <c r="F18" s="13" t="s">
        <v>238</v>
      </c>
      <c r="G18" s="13" t="s">
        <v>270</v>
      </c>
      <c r="H18" s="13" t="s">
        <v>271</v>
      </c>
      <c r="J18" s="13"/>
    </row>
    <row r="19" spans="1:10" x14ac:dyDescent="0.3">
      <c r="A19" s="13" t="s">
        <v>272</v>
      </c>
      <c r="B19" s="13" t="s">
        <v>273</v>
      </c>
      <c r="C19" s="13" t="s">
        <v>274</v>
      </c>
      <c r="D19" s="13" t="s">
        <v>259</v>
      </c>
      <c r="E19" s="13" t="s">
        <v>99</v>
      </c>
      <c r="F19" s="13" t="s">
        <v>256</v>
      </c>
      <c r="G19" s="13" t="s">
        <v>274</v>
      </c>
      <c r="H19" s="13"/>
      <c r="I19" s="13"/>
      <c r="J19" s="13"/>
    </row>
    <row r="20" spans="1:10" x14ac:dyDescent="0.3">
      <c r="A20" s="13" t="s">
        <v>275</v>
      </c>
      <c r="B20" s="13" t="s">
        <v>276</v>
      </c>
      <c r="C20" s="13" t="s">
        <v>277</v>
      </c>
      <c r="E20" s="13"/>
      <c r="F20" s="13"/>
      <c r="G20" s="13"/>
      <c r="H20" s="13"/>
      <c r="I20" s="13"/>
      <c r="J20" s="13"/>
    </row>
    <row r="21" spans="1:10" x14ac:dyDescent="0.3">
      <c r="A21" s="13" t="s">
        <v>278</v>
      </c>
      <c r="B21" s="13" t="s">
        <v>264</v>
      </c>
      <c r="C21" s="13" t="s">
        <v>256</v>
      </c>
      <c r="D21" s="13" t="s">
        <v>279</v>
      </c>
      <c r="E21" s="13" t="s">
        <v>280</v>
      </c>
      <c r="F21" s="13" t="s">
        <v>238</v>
      </c>
      <c r="G21" s="13" t="s">
        <v>281</v>
      </c>
      <c r="I21" s="13"/>
      <c r="J21" s="13"/>
    </row>
    <row r="22" spans="1:10" x14ac:dyDescent="0.3">
      <c r="A22" s="13" t="s">
        <v>282</v>
      </c>
      <c r="B22" s="13">
        <v>100</v>
      </c>
      <c r="C22" s="13" t="s">
        <v>274</v>
      </c>
      <c r="D22" s="13" t="s">
        <v>238</v>
      </c>
      <c r="E22" s="13" t="s">
        <v>264</v>
      </c>
      <c r="F22" s="13"/>
      <c r="G22" s="13"/>
      <c r="H22" s="13"/>
      <c r="I22" s="13"/>
      <c r="J22" s="13"/>
    </row>
    <row r="23" spans="1:10" x14ac:dyDescent="0.3">
      <c r="A23" s="13" t="s">
        <v>283</v>
      </c>
      <c r="B23" s="13" t="s">
        <v>238</v>
      </c>
      <c r="C23" s="13" t="s">
        <v>238</v>
      </c>
      <c r="D23" s="13" t="s">
        <v>284</v>
      </c>
      <c r="E23" s="13"/>
      <c r="F23" s="13"/>
      <c r="G23" s="13" t="s">
        <v>285</v>
      </c>
      <c r="H23" s="13" t="s">
        <v>286</v>
      </c>
      <c r="I23" s="13"/>
      <c r="J23" s="13">
        <v>10</v>
      </c>
    </row>
    <row r="24" spans="1:10" x14ac:dyDescent="0.3">
      <c r="A24" s="13" t="s">
        <v>287</v>
      </c>
      <c r="B24" s="13">
        <v>100</v>
      </c>
      <c r="C24" s="13" t="s">
        <v>256</v>
      </c>
      <c r="D24" s="13" t="s">
        <v>239</v>
      </c>
      <c r="E24" s="13"/>
      <c r="F24" s="13"/>
      <c r="G24" s="13"/>
      <c r="H24" s="13"/>
      <c r="I24" s="13"/>
      <c r="J24" s="13"/>
    </row>
    <row r="25" spans="1:10" x14ac:dyDescent="0.3">
      <c r="A25" s="13" t="s">
        <v>288</v>
      </c>
      <c r="B25" s="13" t="s">
        <v>274</v>
      </c>
      <c r="C25" s="13" t="s">
        <v>289</v>
      </c>
      <c r="D25" s="13" t="s">
        <v>238</v>
      </c>
      <c r="E25" s="13"/>
      <c r="F25" s="13"/>
      <c r="G25" s="13" t="s">
        <v>276</v>
      </c>
      <c r="H25" s="13"/>
      <c r="I25" s="13"/>
      <c r="J25" s="13">
        <v>20</v>
      </c>
    </row>
    <row r="26" spans="1:10" x14ac:dyDescent="0.3">
      <c r="A26" s="13" t="s">
        <v>290</v>
      </c>
      <c r="B26" s="13" t="s">
        <v>238</v>
      </c>
      <c r="C26" s="13" t="s">
        <v>238</v>
      </c>
      <c r="D26" s="13" t="s">
        <v>255</v>
      </c>
      <c r="E26" s="13" t="s">
        <v>291</v>
      </c>
      <c r="F26" s="13"/>
      <c r="G26" s="13"/>
      <c r="H26" s="13"/>
      <c r="I26" s="13"/>
      <c r="J26" s="13"/>
    </row>
    <row r="27" spans="1:10" x14ac:dyDescent="0.3">
      <c r="A27" s="13" t="s">
        <v>292</v>
      </c>
      <c r="B27" s="13" t="s">
        <v>293</v>
      </c>
      <c r="C27" s="13"/>
      <c r="D27" s="13" t="s">
        <v>294</v>
      </c>
      <c r="E27" s="13"/>
      <c r="F27" s="13"/>
      <c r="G27" s="13"/>
      <c r="H27" s="13"/>
      <c r="I27" s="13"/>
      <c r="J27" s="13"/>
    </row>
    <row r="28" spans="1:10" x14ac:dyDescent="0.3">
      <c r="A28" s="13" t="s">
        <v>295</v>
      </c>
      <c r="B28" s="13" t="s">
        <v>296</v>
      </c>
      <c r="D28" s="13"/>
      <c r="E28" s="13"/>
      <c r="F28" s="13"/>
      <c r="G28" s="13"/>
      <c r="H28" s="13">
        <v>100</v>
      </c>
      <c r="I28" s="13"/>
    </row>
    <row r="29" spans="1:10" x14ac:dyDescent="0.3">
      <c r="A29" s="13" t="s">
        <v>297</v>
      </c>
      <c r="B29" s="13"/>
      <c r="C29" s="13" t="s">
        <v>239</v>
      </c>
      <c r="D29" s="13" t="s">
        <v>298</v>
      </c>
      <c r="E29" s="13"/>
      <c r="F29" s="13"/>
      <c r="G29" s="13" t="s">
        <v>299</v>
      </c>
      <c r="H29" s="13"/>
      <c r="I29" s="13"/>
      <c r="J29" s="13">
        <v>14</v>
      </c>
    </row>
    <row r="30" spans="1:10" x14ac:dyDescent="0.3">
      <c r="A30" s="13" t="s">
        <v>300</v>
      </c>
      <c r="B30" s="13"/>
      <c r="C30" s="13"/>
      <c r="D30" s="13"/>
      <c r="E30" s="13"/>
      <c r="F30" s="13"/>
      <c r="G30" s="13"/>
      <c r="H30" s="13"/>
      <c r="I30" s="13" t="s">
        <v>255</v>
      </c>
      <c r="J30" s="13">
        <v>40</v>
      </c>
    </row>
    <row r="31" spans="1:10" x14ac:dyDescent="0.3">
      <c r="A31" s="13" t="s">
        <v>301</v>
      </c>
      <c r="B31" s="13" t="s">
        <v>302</v>
      </c>
      <c r="C31" s="13" t="s">
        <v>239</v>
      </c>
      <c r="D31" s="13"/>
      <c r="E31" s="13"/>
      <c r="F31" s="13"/>
      <c r="G31" s="13"/>
      <c r="H31" s="13"/>
      <c r="I31" s="13" t="s">
        <v>303</v>
      </c>
      <c r="J31" s="13">
        <v>25</v>
      </c>
    </row>
    <row r="32" spans="1:10" x14ac:dyDescent="0.3">
      <c r="A32" s="13" t="s">
        <v>304</v>
      </c>
      <c r="B32" s="13">
        <v>100</v>
      </c>
      <c r="C32" s="13"/>
      <c r="D32" s="13"/>
      <c r="E32" s="13"/>
      <c r="F32" s="13"/>
      <c r="G32" s="13"/>
      <c r="H32" s="13"/>
      <c r="I32" s="13"/>
      <c r="J32" s="13"/>
    </row>
    <row r="33" spans="1:10" x14ac:dyDescent="0.3">
      <c r="A33" s="13" t="s">
        <v>305</v>
      </c>
      <c r="B33" s="13" t="s">
        <v>306</v>
      </c>
      <c r="C33" s="13" t="s">
        <v>307</v>
      </c>
      <c r="D33" s="13" t="s">
        <v>298</v>
      </c>
      <c r="E33" s="13"/>
      <c r="F33" s="13"/>
      <c r="G33" s="13"/>
      <c r="H33" s="13"/>
      <c r="I33" s="13"/>
      <c r="J33" s="13"/>
    </row>
    <row r="34" spans="1:10" x14ac:dyDescent="0.3">
      <c r="A34" s="13" t="s">
        <v>308</v>
      </c>
      <c r="B34" s="13" t="s">
        <v>302</v>
      </c>
      <c r="C34" s="13"/>
      <c r="D34" s="13"/>
      <c r="E34" s="13"/>
      <c r="F34" s="13"/>
      <c r="G34" s="13"/>
      <c r="H34" s="13"/>
      <c r="I34" s="13"/>
      <c r="J34" s="13">
        <v>55</v>
      </c>
    </row>
    <row r="35" spans="1:10" x14ac:dyDescent="0.3">
      <c r="A35" s="13" t="s">
        <v>309</v>
      </c>
      <c r="B35" s="13">
        <v>100</v>
      </c>
      <c r="C35" s="13"/>
      <c r="D35" s="13"/>
      <c r="E35" s="13"/>
      <c r="F35" s="13"/>
      <c r="G35" s="13"/>
      <c r="H35" s="13"/>
      <c r="I35" s="13"/>
      <c r="J35" s="1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1976SP08_Ep</vt:lpstr>
      <vt:lpstr>1976SP08_MR</vt:lpstr>
      <vt:lpstr>1976ME12</vt:lpstr>
      <vt:lpstr>1976ME12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 Sun</dc:creator>
  <cp:lastModifiedBy>Lijie Sun</cp:lastModifiedBy>
  <dcterms:created xsi:type="dcterms:W3CDTF">2025-09-30T02:00:05Z</dcterms:created>
  <dcterms:modified xsi:type="dcterms:W3CDTF">2025-10-02T19:44:26Z</dcterms:modified>
</cp:coreProperties>
</file>